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8_{2A1E0033-0B0C-47BA-A1D5-1CE6B3466B72}" xr6:coauthVersionLast="47" xr6:coauthVersionMax="47" xr10:uidLastSave="{00000000-0000-0000-0000-000000000000}"/>
  <bookViews>
    <workbookView xWindow="-110" yWindow="-110" windowWidth="19420" windowHeight="10300" xr2:uid="{00000000-000D-0000-FFFF-FFFF00000000}"/>
  </bookViews>
  <sheets>
    <sheet name="Cronograma_Sistema_Alerta" sheetId="14" r:id="rId1"/>
    <sheet name="ProjectSchedule" sheetId="11" r:id="rId2"/>
    <sheet name="Acerca de" sheetId="12" r:id="rId3"/>
  </sheets>
  <definedNames>
    <definedName name="hoy" localSheetId="0">TODAY()</definedName>
    <definedName name="hoy" localSheetId="1">TODAY()</definedName>
    <definedName name="Inicio_del_proyecto" localSheetId="0">Cronograma_Sistema_Alerta!$E$3</definedName>
    <definedName name="Inicio_del_proyecto">ProjectSchedule!$E$3</definedName>
    <definedName name="Semana_para_mostrar" localSheetId="0">Cronograma_Sistema_Alerta!$E$4</definedName>
    <definedName name="Semana_para_mostrar">ProjectSchedule!$E$4</definedName>
    <definedName name="task_end" localSheetId="0">Cronograma_Sistema_Alerta!$F1</definedName>
    <definedName name="task_end" localSheetId="1">ProjectSchedule!$F1</definedName>
    <definedName name="task_progress" localSheetId="0">Cronograma_Sistema_Alerta!$D1</definedName>
    <definedName name="task_progress" localSheetId="1">ProjectSchedule!$D1</definedName>
    <definedName name="task_start" localSheetId="0">Cronograma_Sistema_Alerta!$E1</definedName>
    <definedName name="task_start" localSheetId="1">ProjectSchedule!$E1</definedName>
    <definedName name="_xlnm.Print_Titles" localSheetId="0">Cronograma_Sistema_Alerta!$4:$6</definedName>
    <definedName name="_xlnm.Print_Titles" localSheetId="1">ProjectSchedule!$4:$6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Q5" i="14" l="1"/>
  <c r="DQ6" i="14" s="1"/>
  <c r="DR5" i="14"/>
  <c r="DR6" i="14" s="1"/>
  <c r="DS5" i="14"/>
  <c r="DT5" i="14" s="1"/>
  <c r="DJ5" i="14"/>
  <c r="DJ6" i="14" s="1"/>
  <c r="CV5" i="14"/>
  <c r="CW5" i="14" s="1"/>
  <c r="CV6" i="14"/>
  <c r="CO5" i="14"/>
  <c r="CP5" i="14" s="1"/>
  <c r="CO6" i="14"/>
  <c r="H71" i="14"/>
  <c r="I5" i="14"/>
  <c r="J5" i="14" s="1"/>
  <c r="H7" i="14"/>
  <c r="H8" i="14"/>
  <c r="E9" i="14"/>
  <c r="H9" i="14" s="1"/>
  <c r="H10" i="14"/>
  <c r="H11" i="14"/>
  <c r="H12" i="14"/>
  <c r="H14" i="14"/>
  <c r="H19" i="14"/>
  <c r="H20" i="14"/>
  <c r="H21" i="14"/>
  <c r="H22" i="14"/>
  <c r="H26" i="14"/>
  <c r="H28" i="14"/>
  <c r="H31" i="14"/>
  <c r="H32" i="14"/>
  <c r="H33" i="14"/>
  <c r="H34" i="14"/>
  <c r="H38" i="14"/>
  <c r="H41" i="14"/>
  <c r="H42" i="14"/>
  <c r="H43" i="14"/>
  <c r="H44" i="14"/>
  <c r="H45" i="14"/>
  <c r="H49" i="14"/>
  <c r="H50" i="14"/>
  <c r="H51" i="14"/>
  <c r="H52" i="14"/>
  <c r="H53" i="14"/>
  <c r="H59" i="14"/>
  <c r="H60" i="14"/>
  <c r="H64" i="14"/>
  <c r="H65" i="14"/>
  <c r="H66" i="14"/>
  <c r="H67" i="14"/>
  <c r="H69" i="14"/>
  <c r="H47" i="11"/>
  <c r="H45" i="11"/>
  <c r="H44" i="11"/>
  <c r="H43" i="11"/>
  <c r="H42" i="11"/>
  <c r="H41" i="11"/>
  <c r="H40" i="11"/>
  <c r="H39" i="11"/>
  <c r="H38" i="11"/>
  <c r="H7" i="11"/>
  <c r="DT6" i="14" l="1"/>
  <c r="DU5" i="14"/>
  <c r="DS6" i="14"/>
  <c r="DK5" i="14"/>
  <c r="CW6" i="14"/>
  <c r="CX5" i="14"/>
  <c r="CP6" i="14"/>
  <c r="CQ5" i="14"/>
  <c r="I6" i="14"/>
  <c r="K5" i="14"/>
  <c r="J6" i="14"/>
  <c r="E9" i="11"/>
  <c r="DU6" i="14" l="1"/>
  <c r="DV5" i="14"/>
  <c r="DK6" i="14"/>
  <c r="DL5" i="14"/>
  <c r="CX6" i="14"/>
  <c r="CY5" i="14"/>
  <c r="CQ6" i="14"/>
  <c r="CR5" i="14"/>
  <c r="L5" i="14"/>
  <c r="K6" i="14"/>
  <c r="H25" i="11"/>
  <c r="I5" i="11"/>
  <c r="H37" i="11"/>
  <c r="H36" i="11"/>
  <c r="H35" i="11"/>
  <c r="H34" i="11"/>
  <c r="H33" i="11"/>
  <c r="H32" i="11"/>
  <c r="H30" i="11"/>
  <c r="H24" i="11"/>
  <c r="H23" i="11"/>
  <c r="H17" i="11"/>
  <c r="H8" i="11"/>
  <c r="DV6" i="14" l="1"/>
  <c r="DW5" i="14"/>
  <c r="DW6" i="14" s="1"/>
  <c r="DM5" i="14"/>
  <c r="DL6" i="14"/>
  <c r="CY6" i="14"/>
  <c r="CZ5" i="14"/>
  <c r="CR6" i="14"/>
  <c r="CS5" i="14"/>
  <c r="M5" i="14"/>
  <c r="L6" i="14"/>
  <c r="I6" i="11"/>
  <c r="DN5" i="14" l="1"/>
  <c r="DM6" i="14"/>
  <c r="CZ6" i="14"/>
  <c r="DA5" i="14"/>
  <c r="CS6" i="14"/>
  <c r="CT5" i="14"/>
  <c r="N5" i="14"/>
  <c r="M6" i="14"/>
  <c r="H9" i="11"/>
  <c r="H31" i="11"/>
  <c r="H29" i="11"/>
  <c r="H10" i="11"/>
  <c r="H26" i="11"/>
  <c r="H18" i="11"/>
  <c r="H14" i="11"/>
  <c r="J5" i="11"/>
  <c r="K5" i="11" s="1"/>
  <c r="L5" i="11" s="1"/>
  <c r="M5" i="11" s="1"/>
  <c r="N5" i="11" s="1"/>
  <c r="O5" i="11" s="1"/>
  <c r="P5" i="11" s="1"/>
  <c r="DN6" i="14" l="1"/>
  <c r="DO5" i="14"/>
  <c r="DA6" i="14"/>
  <c r="DB5" i="14"/>
  <c r="CU5" i="14"/>
  <c r="CU6" i="14" s="1"/>
  <c r="CT6" i="14"/>
  <c r="O5" i="14"/>
  <c r="N6" i="14"/>
  <c r="H27" i="11"/>
  <c r="H19" i="11"/>
  <c r="H11" i="11"/>
  <c r="H12" i="11"/>
  <c r="Q5" i="11"/>
  <c r="R5" i="11" s="1"/>
  <c r="S5" i="11" s="1"/>
  <c r="T5" i="11" s="1"/>
  <c r="U5" i="11" s="1"/>
  <c r="V5" i="11" s="1"/>
  <c r="W5" i="11" s="1"/>
  <c r="J6" i="11"/>
  <c r="DO6" i="14" l="1"/>
  <c r="DP5" i="14"/>
  <c r="DP6" i="14" s="1"/>
  <c r="DB6" i="14"/>
  <c r="DC5" i="14"/>
  <c r="O6" i="14"/>
  <c r="P5" i="14"/>
  <c r="H22" i="11"/>
  <c r="H21" i="11"/>
  <c r="H20" i="11"/>
  <c r="X5" i="11"/>
  <c r="Y5" i="11" s="1"/>
  <c r="Z5" i="11" s="1"/>
  <c r="AA5" i="11" s="1"/>
  <c r="AB5" i="11" s="1"/>
  <c r="AC5" i="11" s="1"/>
  <c r="AD5" i="11" s="1"/>
  <c r="K6" i="11"/>
  <c r="DD5" i="14" l="1"/>
  <c r="DC6" i="14"/>
  <c r="Q5" i="14"/>
  <c r="P6" i="14"/>
  <c r="AE5" i="11"/>
  <c r="AF5" i="11" s="1"/>
  <c r="AG5" i="11" s="1"/>
  <c r="AH5" i="11" s="1"/>
  <c r="AI5" i="11" s="1"/>
  <c r="AJ5" i="11" s="1"/>
  <c r="L6" i="11"/>
  <c r="DE5" i="14" l="1"/>
  <c r="DD6" i="14"/>
  <c r="R5" i="14"/>
  <c r="Q6" i="14"/>
  <c r="AK5" i="11"/>
  <c r="AL5" i="11" s="1"/>
  <c r="AM5" i="11" s="1"/>
  <c r="AN5" i="11" s="1"/>
  <c r="AO5" i="11" s="1"/>
  <c r="AP5" i="11" s="1"/>
  <c r="AQ5" i="11" s="1"/>
  <c r="M6" i="11"/>
  <c r="DF5" i="14" l="1"/>
  <c r="DE6" i="14"/>
  <c r="R6" i="14"/>
  <c r="S5" i="14"/>
  <c r="AR5" i="11"/>
  <c r="AS5" i="11" s="1"/>
  <c r="N6" i="11"/>
  <c r="DF6" i="14" l="1"/>
  <c r="DG5" i="14"/>
  <c r="S6" i="14"/>
  <c r="T5" i="14"/>
  <c r="AT5" i="11"/>
  <c r="AS6" i="11"/>
  <c r="O6" i="11"/>
  <c r="DG6" i="14" l="1"/>
  <c r="DH5" i="14"/>
  <c r="U5" i="14"/>
  <c r="T6" i="14"/>
  <c r="AU5" i="11"/>
  <c r="AT6" i="11"/>
  <c r="DH6" i="14" l="1"/>
  <c r="DI5" i="14"/>
  <c r="DI6" i="14" s="1"/>
  <c r="V5" i="14"/>
  <c r="U6" i="14"/>
  <c r="AV5" i="11"/>
  <c r="AU6" i="11"/>
  <c r="P6" i="11"/>
  <c r="Q6" i="11"/>
  <c r="W5" i="14" l="1"/>
  <c r="V6" i="14"/>
  <c r="AW5" i="11"/>
  <c r="AV6" i="11"/>
  <c r="R6" i="11"/>
  <c r="W6" i="14" l="1"/>
  <c r="X5" i="14"/>
  <c r="AX5" i="11"/>
  <c r="AY5" i="11" s="1"/>
  <c r="X6" i="14" l="1"/>
  <c r="Y5" i="14"/>
  <c r="AZ5" i="11"/>
  <c r="AX6" i="11"/>
  <c r="T6" i="11"/>
  <c r="Z5" i="14" l="1"/>
  <c r="Y6" i="14"/>
  <c r="S6" i="11"/>
  <c r="AW6" i="11"/>
  <c r="AY6" i="11"/>
  <c r="BA5" i="11"/>
  <c r="AZ6" i="11"/>
  <c r="U6" i="11"/>
  <c r="Z6" i="14" l="1"/>
  <c r="AA5" i="14"/>
  <c r="BA6" i="11"/>
  <c r="BB5" i="11"/>
  <c r="V6" i="11"/>
  <c r="AA6" i="14" l="1"/>
  <c r="AB5" i="14"/>
  <c r="BB6" i="11"/>
  <c r="BC5" i="11"/>
  <c r="W6" i="11"/>
  <c r="AC5" i="14" l="1"/>
  <c r="AB6" i="14"/>
  <c r="BC6" i="11"/>
  <c r="BD5" i="11"/>
  <c r="X6" i="11"/>
  <c r="AD5" i="14" l="1"/>
  <c r="AC6" i="14"/>
  <c r="BE5" i="11"/>
  <c r="BD6" i="11"/>
  <c r="Y6" i="11"/>
  <c r="AE5" i="14" l="1"/>
  <c r="AD6" i="14"/>
  <c r="BE6" i="11"/>
  <c r="BF5" i="11"/>
  <c r="Z6" i="11"/>
  <c r="AE6" i="14" l="1"/>
  <c r="AF5" i="14"/>
  <c r="BG5" i="11"/>
  <c r="BF6" i="11"/>
  <c r="AA6" i="11"/>
  <c r="AF6" i="14" l="1"/>
  <c r="AG5" i="14"/>
  <c r="BG6" i="11"/>
  <c r="BH5" i="11"/>
  <c r="AB6" i="11"/>
  <c r="AH5" i="14" l="1"/>
  <c r="AG6" i="14"/>
  <c r="BI5" i="11"/>
  <c r="BH6" i="11"/>
  <c r="AC6" i="11"/>
  <c r="AH6" i="14" l="1"/>
  <c r="AI5" i="14"/>
  <c r="BJ5" i="11"/>
  <c r="BI6" i="11"/>
  <c r="AD6" i="11"/>
  <c r="AI6" i="14" l="1"/>
  <c r="AJ5" i="14"/>
  <c r="BK5" i="11"/>
  <c r="BJ6" i="11"/>
  <c r="AE6" i="11"/>
  <c r="AK5" i="14" l="1"/>
  <c r="AJ6" i="14"/>
  <c r="BL5" i="11"/>
  <c r="BM5" i="11" s="1"/>
  <c r="BK6" i="11"/>
  <c r="AF6" i="11"/>
  <c r="AL5" i="14" l="1"/>
  <c r="AK6" i="14"/>
  <c r="BN5" i="11"/>
  <c r="BM6" i="11"/>
  <c r="BL6" i="11"/>
  <c r="AG6" i="11"/>
  <c r="AM5" i="14" l="1"/>
  <c r="AL6" i="14"/>
  <c r="BO5" i="11"/>
  <c r="BN6" i="11"/>
  <c r="AH6" i="11"/>
  <c r="AM6" i="14" l="1"/>
  <c r="AN5" i="14"/>
  <c r="BP5" i="11"/>
  <c r="BO6" i="11"/>
  <c r="AI6" i="11"/>
  <c r="AN6" i="14" l="1"/>
  <c r="AO5" i="14"/>
  <c r="BQ5" i="11"/>
  <c r="BP6" i="11"/>
  <c r="AJ6" i="11"/>
  <c r="AP5" i="14" l="1"/>
  <c r="AO6" i="14"/>
  <c r="BR5" i="11"/>
  <c r="BQ6" i="11"/>
  <c r="AK6" i="11"/>
  <c r="AP6" i="14" l="1"/>
  <c r="AQ5" i="14"/>
  <c r="BS5" i="11"/>
  <c r="BR6" i="11"/>
  <c r="AL6" i="11"/>
  <c r="AQ6" i="14" l="1"/>
  <c r="AR5" i="14"/>
  <c r="BS6" i="11"/>
  <c r="BT5" i="11"/>
  <c r="AM6" i="11"/>
  <c r="AS5" i="14" l="1"/>
  <c r="AR6" i="14"/>
  <c r="BU5" i="11"/>
  <c r="BT6" i="11"/>
  <c r="AN6" i="11"/>
  <c r="AT5" i="14" l="1"/>
  <c r="AS6" i="14"/>
  <c r="BV5" i="11"/>
  <c r="BU6" i="11"/>
  <c r="AO6" i="11"/>
  <c r="AU5" i="14" l="1"/>
  <c r="AT6" i="14"/>
  <c r="BW5" i="11"/>
  <c r="BV6" i="11"/>
  <c r="AP6" i="11"/>
  <c r="AU6" i="14" l="1"/>
  <c r="AV5" i="14"/>
  <c r="BX5" i="11"/>
  <c r="BW6" i="11"/>
  <c r="AQ6" i="11"/>
  <c r="AV6" i="14" l="1"/>
  <c r="AW5" i="14"/>
  <c r="BY5" i="11"/>
  <c r="BX6" i="11"/>
  <c r="AR6" i="11"/>
  <c r="AX5" i="14" l="1"/>
  <c r="AW6" i="14"/>
  <c r="BZ5" i="11"/>
  <c r="BY6" i="11"/>
  <c r="AX6" i="14" l="1"/>
  <c r="AY5" i="14"/>
  <c r="BZ6" i="11"/>
  <c r="CA5" i="11"/>
  <c r="AY6" i="14" l="1"/>
  <c r="AZ5" i="14"/>
  <c r="CB5" i="11"/>
  <c r="CA6" i="11"/>
  <c r="BA5" i="14" l="1"/>
  <c r="AZ6" i="14"/>
  <c r="CC5" i="11"/>
  <c r="CB6" i="11"/>
  <c r="BB5" i="14" l="1"/>
  <c r="BA6" i="14"/>
  <c r="CD5" i="11"/>
  <c r="CC6" i="11"/>
  <c r="BB6" i="14" l="1"/>
  <c r="BC5" i="14"/>
  <c r="CE5" i="11"/>
  <c r="CD6" i="11"/>
  <c r="BC6" i="14" l="1"/>
  <c r="BD5" i="14"/>
  <c r="CF5" i="11"/>
  <c r="CE6" i="11"/>
  <c r="BD6" i="14" l="1"/>
  <c r="BE5" i="14"/>
  <c r="CG5" i="11"/>
  <c r="CF6" i="11"/>
  <c r="BF5" i="14" l="1"/>
  <c r="BE6" i="14"/>
  <c r="CG6" i="11"/>
  <c r="CH5" i="11"/>
  <c r="BF6" i="14" l="1"/>
  <c r="BG5" i="14"/>
  <c r="CI5" i="11"/>
  <c r="CH6" i="11"/>
  <c r="BG6" i="14" l="1"/>
  <c r="BH5" i="14"/>
  <c r="CJ5" i="11"/>
  <c r="CI6" i="11"/>
  <c r="BI5" i="14" l="1"/>
  <c r="BH6" i="14"/>
  <c r="CK5" i="11"/>
  <c r="CJ6" i="11"/>
  <c r="BJ5" i="14" l="1"/>
  <c r="BI6" i="14"/>
  <c r="CL5" i="11"/>
  <c r="CK6" i="11"/>
  <c r="BK5" i="14" l="1"/>
  <c r="BJ6" i="14"/>
  <c r="CM5" i="11"/>
  <c r="CL6" i="11"/>
  <c r="BK6" i="14" l="1"/>
  <c r="BL5" i="14"/>
  <c r="CN5" i="11"/>
  <c r="CN6" i="11" s="1"/>
  <c r="CM6" i="11"/>
  <c r="BL6" i="14" l="1"/>
  <c r="BM5" i="14"/>
  <c r="BM6" i="14" l="1"/>
  <c r="BN5" i="14"/>
  <c r="BN6" i="14" l="1"/>
  <c r="BO5" i="14"/>
  <c r="BP5" i="14" l="1"/>
  <c r="BO6" i="14"/>
  <c r="BQ5" i="14" l="1"/>
  <c r="BP6" i="14"/>
  <c r="BR5" i="14" l="1"/>
  <c r="BQ6" i="14"/>
  <c r="BS5" i="14" l="1"/>
  <c r="BR6" i="14"/>
  <c r="BS6" i="14" l="1"/>
  <c r="BT5" i="14"/>
  <c r="BT6" i="14" l="1"/>
  <c r="BU5" i="14"/>
  <c r="BU6" i="14" l="1"/>
  <c r="BV5" i="14"/>
  <c r="BV6" i="14" l="1"/>
  <c r="BW5" i="14"/>
  <c r="BW6" i="14" l="1"/>
  <c r="BX5" i="14"/>
  <c r="BY5" i="14" l="1"/>
  <c r="BX6" i="14"/>
  <c r="BZ5" i="14" l="1"/>
  <c r="BY6" i="14"/>
  <c r="CA5" i="14" l="1"/>
  <c r="BZ6" i="14"/>
  <c r="CA6" i="14" l="1"/>
  <c r="CB5" i="14"/>
  <c r="CB6" i="14" l="1"/>
  <c r="CC5" i="14"/>
  <c r="CD5" i="14" l="1"/>
  <c r="CC6" i="14"/>
  <c r="CD6" i="14" l="1"/>
  <c r="CE5" i="14"/>
  <c r="CE6" i="14" l="1"/>
  <c r="CF5" i="14"/>
  <c r="CG5" i="14" l="1"/>
  <c r="CF6" i="14"/>
  <c r="CH5" i="14" l="1"/>
  <c r="CG6" i="14"/>
  <c r="CI5" i="14" l="1"/>
  <c r="CH6" i="14"/>
  <c r="CI6" i="14" l="1"/>
  <c r="CJ5" i="14"/>
  <c r="CJ6" i="14" l="1"/>
  <c r="CK5" i="14"/>
  <c r="CK6" i="14" l="1"/>
  <c r="CL5" i="14"/>
  <c r="CL6" i="14" l="1"/>
  <c r="CM5" i="14"/>
  <c r="CM6" i="14" l="1"/>
  <c r="CN5" i="14"/>
  <c r="CN6" i="14" s="1"/>
</calcChain>
</file>

<file path=xl/sharedStrings.xml><?xml version="1.0" encoding="utf-8"?>
<sst xmlns="http://schemas.openxmlformats.org/spreadsheetml/2006/main" count="264" uniqueCount="144">
  <si>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</si>
  <si>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GRÁFICO GANTT SIMPLE de Vertex42.com</t>
  </si>
  <si>
    <t>Escriba el nombre de la compañía en la celda B2.</t>
  </si>
  <si>
    <t>Nombre de la compañía</t>
  </si>
  <si>
    <t>https://www.vertex42.com/ExcelTemplates/simple-gantt-chart.html</t>
  </si>
  <si>
    <t>Escriba el nombre del responsable del proyecto en la celda B3. Escriba la fecha de comienzo del proyecto en la celda E3. Inicio del proyecto: la etiqueta se encuentra en la celda C3.</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</si>
  <si>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</si>
  <si>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</si>
  <si>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</si>
  <si>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SEMANA 1</t>
  </si>
  <si>
    <t>SEMANA 2</t>
  </si>
  <si>
    <t>SEMANA 3</t>
  </si>
  <si>
    <t>SEMANA 4</t>
  </si>
  <si>
    <t>SEMANA 5</t>
  </si>
  <si>
    <t>SEMANA 6</t>
  </si>
  <si>
    <t>SEMANA 7</t>
  </si>
  <si>
    <t>SEMANA 8</t>
  </si>
  <si>
    <t>SEMANA 9</t>
  </si>
  <si>
    <t>SEMANA 10</t>
  </si>
  <si>
    <t>SEMANA 11</t>
  </si>
  <si>
    <t>SEMANA 12</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</si>
  <si>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</si>
  <si>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</si>
  <si>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</si>
  <si>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</si>
  <si>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</si>
  <si>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</si>
  <si>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</si>
  <si>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</si>
  <si>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</si>
  <si>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</si>
  <si>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</si>
  <si>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Flores Bahena Cristopher Armando</t>
  </si>
  <si>
    <t>Las filas de la 10 a la 13 repiten el patrón de la fila 9. 
Repita las instrucciones de la celda A9 para todas las filas de tareas en esta hoja de cálculo. Sobrescriba los datos de ejemplo.
Un ejemplo de otra fase empieza en la celda A14. 
Continúa escribiendo tareas en las celdas de la A10 a la A13 o ve a la celda A14 para obtener más información.</t>
  </si>
  <si>
    <t>Lozano Reyes Victor Manuel</t>
  </si>
  <si>
    <t>Posadas Elvira Victor Manuel</t>
  </si>
  <si>
    <t xml:space="preserve">Gasca Castillo Mirna Alegandra </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</si>
  <si>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agregaste nuevas filas en esta hoja de cálculo, verás que se crearon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</si>
  <si>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</si>
  <si>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Todos los Integrantes</t>
  </si>
  <si>
    <t>Esta es una fila vacía.</t>
  </si>
  <si>
    <t>Esta fila indica el final de la programación del proyecto. NO escriba nada en esta fila. 
Inserte nuevas filas encima de ésta para continuar creando la programación del proyecto.</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</si>
  <si>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</si>
  <si>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</si>
  <si>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</si>
  <si>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“Ve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</si>
  <si>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</si>
  <si>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</si>
  <si>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</si>
  <si>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</si>
  <si>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</si>
  <si>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</si>
  <si>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</si>
  <si>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</si>
  <si>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</si>
  <si>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Sistema Integral Innovador que permita conocer el estatus académico de los alumnos y reducir el índice de reprobados mediante alertas intuitivas para tomar acciones preventivas en favor de los estudiantes del CECyTEH Tizayuca 2026</t>
  </si>
  <si>
    <t>Descripción del Problema</t>
  </si>
  <si>
    <t>Justificación</t>
  </si>
  <si>
    <t>Objetivo General</t>
  </si>
  <si>
    <t>Objetivos Específicos</t>
  </si>
  <si>
    <t>Recolección de Requerimientos Técnicos</t>
  </si>
  <si>
    <t>Reunión con el Cliente (Miércoles)</t>
  </si>
  <si>
    <t>FASE 1:  ANÁLISIS Y REQUERIMIENTOS</t>
  </si>
  <si>
    <t>FASE 2: DISEÑO DE ARQUITECTURA Y BASE DE DATOS</t>
  </si>
  <si>
    <t>Modelo Entidad-Relación</t>
  </si>
  <si>
    <t xml:space="preserve">Diccionario de Datos </t>
  </si>
  <si>
    <t>Diseño de Interfaz de Escritorio (Mockups)</t>
  </si>
  <si>
    <t>Marco Teórico</t>
  </si>
  <si>
    <t>FASE 3: IMPLEMENTACIÓN DE BACKEND E IMPORTACIÓN</t>
  </si>
  <si>
    <t>Configuración del Servidor Web</t>
  </si>
  <si>
    <t>Módulo de Importación de Datos</t>
  </si>
  <si>
    <t>Lógica de Clasificación de Alerta</t>
  </si>
  <si>
    <t>Documentación de Backend</t>
  </si>
  <si>
    <t>Reunión con el Cliente</t>
  </si>
  <si>
    <t>FASE 4 DESAROLLO DE FRONTEND Y FUNCIONES ESPECIALES</t>
  </si>
  <si>
    <t>Maquetado Web para Escritorio</t>
  </si>
  <si>
    <t>Buscador Inteligente</t>
  </si>
  <si>
    <t>Módulo de Fotografía Estudiantil</t>
  </si>
  <si>
    <t>Documentación de Frontend</t>
  </si>
  <si>
    <t>FASE 5: INTEGRACIÓN Y SEGUIMIENTO TUTORIAL</t>
  </si>
  <si>
    <t>Módulo de Historial Académico</t>
  </si>
  <si>
    <t>Panel de Observaciones Docentes</t>
  </si>
  <si>
    <t>Sistema de Autenticación</t>
  </si>
  <si>
    <t>Documentación de Metodología</t>
  </si>
  <si>
    <t>FASE 6: PRUEBAS FINALES Y DOCUMENTACIÓN DE CIERRE</t>
  </si>
  <si>
    <t>Pruebas de Funcionalidad</t>
  </si>
  <si>
    <t>Depuración y Ajustes</t>
  </si>
  <si>
    <t>Anexos y Formato Final</t>
  </si>
  <si>
    <t>Compilación de Documento</t>
  </si>
  <si>
    <t>Presentación Final</t>
  </si>
  <si>
    <t>Reunión con el Cliente (Miércoles)-</t>
  </si>
  <si>
    <t>Antecedentes</t>
  </si>
  <si>
    <t>Posadas Elvira Victor Manuel
Lozano Reyes Victor Manuel</t>
  </si>
  <si>
    <t>Gasca Castillo Mirna Alegandra
 Lozano Reyes Victor Manuel</t>
  </si>
  <si>
    <t xml:space="preserve">Flores Bahena Cristopher Armando </t>
  </si>
  <si>
    <t>Gasca Castillo Mirna Alejandra
Posadas Elvira Vicotr Manuel</t>
  </si>
  <si>
    <t>Flores Bahena Cristopher Armando
Lozano Reyes VictorManuel</t>
  </si>
  <si>
    <t>Plantamiento del Problema</t>
  </si>
  <si>
    <t>Definicion de Roles de Usuario</t>
  </si>
  <si>
    <t>Identificacion de Módulos del Sistema</t>
  </si>
  <si>
    <t>Entrega P1: Antecedentes, Plantamiento, Justificación, etc.</t>
  </si>
  <si>
    <t>Diseño de Interfaz Web - Mockups por rol</t>
  </si>
  <si>
    <t>Diseño del Sistema de Semáforo (lógica de alertas)</t>
  </si>
  <si>
    <t>Diseño del Módulo de Notificaciones por Correo</t>
  </si>
  <si>
    <t>Diseño del Módulo de Horarios Docentes</t>
  </si>
  <si>
    <t>Metodología</t>
  </si>
  <si>
    <t>Entrega P1: Objetivo General y Objetivos Especìficos</t>
  </si>
  <si>
    <t>Entrega P2: Marco Teórico y Metodología</t>
  </si>
  <si>
    <t>Configuración del Servidor Web (Flask/Django)</t>
  </si>
  <si>
    <t>Módulo de Importación de Datos (CSV/Excel)</t>
  </si>
  <si>
    <t>Lógica de Clasificación de Alerta (verde/amarillo/rojo)</t>
  </si>
  <si>
    <t>Sistema de Autenticación y Control de Roles</t>
  </si>
  <si>
    <t>Módulo de Notificaciones Automáticas por Correo</t>
  </si>
  <si>
    <t>Módulo de Gestión de Horarios Docentes</t>
  </si>
  <si>
    <t>Entrega P2: Cronograma</t>
  </si>
  <si>
    <t>Entrega P2: Desarrollo del Proyecto (avance)</t>
  </si>
  <si>
    <t>Maquetado Web - Vistas por rol</t>
  </si>
  <si>
    <t>Buscador Inteligente por Matrícula</t>
  </si>
  <si>
    <t>Panel de Padres de Familia</t>
  </si>
  <si>
    <t>Visualización del Semáforo en Dashboard</t>
  </si>
  <si>
    <t>Panel de Horarios Y Localización Docente</t>
  </si>
  <si>
    <t>Módulo de Historial Académico por Alumno</t>
  </si>
  <si>
    <t>Módulo de Seguimiento Tutorial</t>
  </si>
  <si>
    <t>Integración de Notificaciones con Módulo de Alertas</t>
  </si>
  <si>
    <t>Integración General de Módulos (Backend + Frontend)</t>
  </si>
  <si>
    <t>Pruebas de Funcionalidad por Módulo</t>
  </si>
  <si>
    <t>Pruebas de Roles y Permisos de Usuario</t>
  </si>
  <si>
    <t>FASE 3: IMPLEMENTACIÓN DE BACKEND</t>
  </si>
  <si>
    <t>FASE 5: INTEGRACIÓN Y PRUEBAS</t>
  </si>
  <si>
    <t>Entrega P3: Resultados</t>
  </si>
  <si>
    <t>Entrega P3: Conclusiones y Recomendaciones</t>
  </si>
  <si>
    <t>Entrega P3: Referencias Biblográficas</t>
  </si>
  <si>
    <t>FASE 6: DOCUMENTACIÓN Y CIERRE</t>
  </si>
  <si>
    <t>Depuración y Ajustes Finales</t>
  </si>
  <si>
    <t>Compilación del Documento Final</t>
  </si>
  <si>
    <t>Carátula, Índices, Resumen, Abstract, Introducción</t>
  </si>
  <si>
    <t>Agradecimientos</t>
  </si>
  <si>
    <t>Hoja en Blanco y Empastado</t>
  </si>
  <si>
    <t>Entrega P3:Anexos y Documento Final Empastado</t>
  </si>
  <si>
    <t>SEMANA 13</t>
  </si>
  <si>
    <t>SEMANA 14</t>
  </si>
  <si>
    <t>SEMANA 15</t>
  </si>
  <si>
    <t>SEMANA 16</t>
  </si>
  <si>
    <t>SEMANA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</si>
</sst>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d\ &quot;de&quot;\ mmmm\ &quot;de&quot;\ yyyy"/>
    <numFmt numFmtId="170" formatCode="d"/>
    <numFmt numFmtId="171" formatCode="dd\-mm\-yy;@"/>
  </numFmts>
  <fonts count="33"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
      <u/>
      <sz val="11"/>
      <color theme="1"/>
      <name val="Calibri"/>
      <family val="2"/>
      <scheme val="minor"/>
    </font>
  </fonts>
  <fills count="48">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
      <patternFill patternType="solid">
        <fgColor rgb="FF99EBEF"/>
        <bgColor indexed="64"/>
      </patternFill>
    </fill>
    <fill>
      <patternFill patternType="solid">
        <fgColor rgb="FFCDE8EF"/>
        <bgColor indexed="64"/>
      </patternFill>
    </fill>
    <fill>
      <patternFill patternType="solid">
        <fgColor theme="0"/>
        <bgColor indexed="64"/>
      </patternFill>
    </fill>
  </fills>
  <borders count="19">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4">
    <xf numFmtId="0" fontId="0" fillId="0" borderId="0"/>
    <xf numFmtId="0" fontId="2" fillId="0" borderId="0" applyNumberFormat="0" applyFill="0" applyBorder="0" applyAlignment="0" applyProtection="0">
      <alignment vertical="top"/>
      <protection locked="0"/>
    </xf>
    <xf numFmtId="9" fontId="6" fillId="0" borderId="0" applyFont="0" applyFill="0" applyBorder="0" applyAlignment="0" applyProtection="0"/>
    <xf numFmtId="0" fontId="17" fillId="0" borderId="0"/>
    <xf numFmtId="167" fontId="6" fillId="0" borderId="3" applyFont="0" applyFill="0" applyAlignment="0" applyProtection="0"/>
    <xf numFmtId="0" fontId="10" fillId="0" borderId="0" applyNumberFormat="0" applyFill="0" applyBorder="0" applyAlignment="0" applyProtection="0"/>
    <xf numFmtId="0" fontId="7" fillId="0" borderId="0" applyNumberFormat="0" applyFill="0" applyAlignment="0" applyProtection="0"/>
    <xf numFmtId="0" fontId="7" fillId="0" borderId="0" applyNumberFormat="0" applyFill="0" applyProtection="0">
      <alignment vertical="top"/>
    </xf>
    <xf numFmtId="0" fontId="6" fillId="0" borderId="0" applyNumberFormat="0" applyFill="0" applyProtection="0">
      <alignment horizontal="right" indent="1"/>
    </xf>
    <xf numFmtId="168" fontId="6" fillId="0" borderId="3">
      <alignment horizontal="center" vertical="center"/>
    </xf>
    <xf numFmtId="171" fontId="6" fillId="0" borderId="2" applyFill="0">
      <alignment horizontal="center" vertical="center"/>
    </xf>
    <xf numFmtId="0" fontId="6" fillId="0" borderId="2" applyFill="0">
      <alignment horizontal="center" vertical="center"/>
    </xf>
    <xf numFmtId="0" fontId="6" fillId="0" borderId="2" applyFill="0">
      <alignment horizontal="left" vertical="center" indent="2"/>
    </xf>
    <xf numFmtId="0" fontId="19" fillId="0" borderId="0" applyNumberFormat="0" applyFill="0" applyBorder="0" applyAlignment="0" applyProtection="0"/>
    <xf numFmtId="166" fontId="6" fillId="0" borderId="0" applyFont="0" applyFill="0" applyBorder="0" applyAlignment="0" applyProtection="0"/>
    <xf numFmtId="165" fontId="6" fillId="0" borderId="0" applyFont="0" applyFill="0" applyBorder="0" applyAlignment="0" applyProtection="0"/>
    <xf numFmtId="164" fontId="6" fillId="0" borderId="0" applyFont="0" applyFill="0" applyBorder="0" applyAlignment="0" applyProtection="0"/>
    <xf numFmtId="0" fontId="20" fillId="0" borderId="0" applyNumberFormat="0" applyFill="0" applyBorder="0" applyAlignment="0" applyProtection="0"/>
    <xf numFmtId="0" fontId="21" fillId="13" borderId="0" applyNumberFormat="0" applyBorder="0" applyAlignment="0" applyProtection="0"/>
    <xf numFmtId="0" fontId="22" fillId="14" borderId="0" applyNumberFormat="0" applyBorder="0" applyAlignment="0" applyProtection="0"/>
    <xf numFmtId="0" fontId="23" fillId="15" borderId="0" applyNumberFormat="0" applyBorder="0" applyAlignment="0" applyProtection="0"/>
    <xf numFmtId="0" fontId="24" fillId="16" borderId="11" applyNumberFormat="0" applyAlignment="0" applyProtection="0"/>
    <xf numFmtId="0" fontId="25" fillId="17" borderId="12" applyNumberFormat="0" applyAlignment="0" applyProtection="0"/>
    <xf numFmtId="0" fontId="26" fillId="17" borderId="11" applyNumberFormat="0" applyAlignment="0" applyProtection="0"/>
    <xf numFmtId="0" fontId="27" fillId="0" borderId="13" applyNumberFormat="0" applyFill="0" applyAlignment="0" applyProtection="0"/>
    <xf numFmtId="0" fontId="28" fillId="18" borderId="14" applyNumberFormat="0" applyAlignment="0" applyProtection="0"/>
    <xf numFmtId="0" fontId="29" fillId="0" borderId="0" applyNumberFormat="0" applyFill="0" applyBorder="0" applyAlignment="0" applyProtection="0"/>
    <xf numFmtId="0" fontId="6" fillId="19" borderId="15" applyNumberFormat="0" applyFont="0" applyAlignment="0" applyProtection="0"/>
    <xf numFmtId="0" fontId="30" fillId="0" borderId="0" applyNumberFormat="0" applyFill="0" applyBorder="0" applyAlignment="0" applyProtection="0"/>
    <xf numFmtId="0" fontId="4" fillId="0" borderId="16" applyNumberFormat="0" applyFill="0" applyAlignment="0" applyProtection="0"/>
    <xf numFmtId="0" fontId="17"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17"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17" fillId="28"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17" fillId="32" borderId="0" applyNumberFormat="0" applyBorder="0" applyAlignment="0" applyProtection="0"/>
    <xf numFmtId="0" fontId="6"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17" fillId="36" borderId="0" applyNumberFormat="0" applyBorder="0" applyAlignment="0" applyProtection="0"/>
    <xf numFmtId="0" fontId="6"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17" fillId="40" borderId="0" applyNumberFormat="0" applyBorder="0" applyAlignment="0" applyProtection="0"/>
    <xf numFmtId="0" fontId="6"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cellStyleXfs>
  <cellXfs count="108">
    <xf numFmtId="0" fontId="0" fillId="0" borderId="0" xfId="0"/>
    <xf numFmtId="0" fontId="1" fillId="0" borderId="0" xfId="0" applyFont="1"/>
    <xf numFmtId="0" fontId="0" fillId="0" borderId="0" xfId="0" applyAlignment="1">
      <alignment vertical="center"/>
    </xf>
    <xf numFmtId="0" fontId="0" fillId="0" borderId="0" xfId="0" applyAlignment="1">
      <alignment horizontal="center"/>
    </xf>
    <xf numFmtId="0" fontId="0" fillId="0" borderId="3" xfId="0" applyBorder="1" applyAlignment="1">
      <alignment horizontal="center" vertical="center"/>
    </xf>
    <xf numFmtId="0" fontId="5" fillId="12" borderId="1" xfId="0" applyFont="1" applyFill="1" applyBorder="1" applyAlignment="1">
      <alignment horizontal="left" vertical="center" indent="1"/>
    </xf>
    <xf numFmtId="0" fontId="5" fillId="12" borderId="1" xfId="0" applyFont="1" applyFill="1" applyBorder="1" applyAlignment="1">
      <alignment horizontal="center" vertical="center" wrapText="1"/>
    </xf>
    <xf numFmtId="0" fontId="9" fillId="11" borderId="8" xfId="0" applyFont="1" applyFill="1" applyBorder="1" applyAlignment="1">
      <alignment horizontal="center" vertical="center" shrinkToFit="1"/>
    </xf>
    <xf numFmtId="0" fontId="3" fillId="0" borderId="2" xfId="0" applyFont="1" applyBorder="1" applyAlignment="1">
      <alignment horizontal="center" vertical="center"/>
    </xf>
    <xf numFmtId="0" fontId="4" fillId="7" borderId="2" xfId="0" applyFont="1" applyFill="1" applyBorder="1" applyAlignment="1">
      <alignment horizontal="left" vertical="center" indent="1"/>
    </xf>
    <xf numFmtId="9" fontId="3" fillId="7" borderId="2" xfId="2" applyFont="1" applyFill="1" applyBorder="1" applyAlignment="1">
      <alignment horizontal="center" vertical="center"/>
    </xf>
    <xf numFmtId="9" fontId="3" fillId="2" borderId="2" xfId="2" applyFont="1" applyFill="1" applyBorder="1" applyAlignment="1">
      <alignment horizontal="center" vertical="center"/>
    </xf>
    <xf numFmtId="0" fontId="4" fillId="8" borderId="2" xfId="0" applyFont="1" applyFill="1" applyBorder="1" applyAlignment="1">
      <alignment horizontal="left" vertical="center" indent="1"/>
    </xf>
    <xf numFmtId="9" fontId="3" fillId="8" borderId="2" xfId="2" applyFont="1" applyFill="1" applyBorder="1" applyAlignment="1">
      <alignment horizontal="center" vertical="center"/>
    </xf>
    <xf numFmtId="9" fontId="3" fillId="3" borderId="2" xfId="2" applyFont="1" applyFill="1" applyBorder="1" applyAlignment="1">
      <alignment horizontal="center" vertical="center"/>
    </xf>
    <xf numFmtId="0" fontId="4" fillId="5" borderId="2" xfId="0" applyFont="1" applyFill="1" applyBorder="1" applyAlignment="1">
      <alignment horizontal="left" vertical="center" indent="1"/>
    </xf>
    <xf numFmtId="9" fontId="3" fillId="5" borderId="2" xfId="2" applyFont="1" applyFill="1" applyBorder="1" applyAlignment="1">
      <alignment horizontal="center" vertical="center"/>
    </xf>
    <xf numFmtId="9" fontId="3" fillId="10" borderId="2" xfId="2" applyFont="1" applyFill="1" applyBorder="1" applyAlignment="1">
      <alignment horizontal="center" vertical="center"/>
    </xf>
    <xf numFmtId="0" fontId="4" fillId="4" borderId="2" xfId="0" applyFont="1" applyFill="1" applyBorder="1" applyAlignment="1">
      <alignment horizontal="left" vertical="center" indent="1"/>
    </xf>
    <xf numFmtId="9" fontId="3" fillId="4" borderId="2" xfId="2" applyFont="1" applyFill="1" applyBorder="1" applyAlignment="1">
      <alignment horizontal="center" vertical="center"/>
    </xf>
    <xf numFmtId="9" fontId="3" fillId="9"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1" fillId="0" borderId="0" xfId="0" applyFont="1" applyAlignment="1">
      <alignment vertical="top"/>
    </xf>
    <xf numFmtId="0" fontId="11" fillId="0" borderId="0" xfId="0" applyFont="1" applyAlignment="1">
      <alignment horizontal="left" vertical="center"/>
    </xf>
    <xf numFmtId="0" fontId="12" fillId="0" borderId="0" xfId="0" applyFont="1" applyAlignment="1">
      <alignment horizontal="left" vertical="center"/>
    </xf>
    <xf numFmtId="0" fontId="14" fillId="0" borderId="0" xfId="0" applyFont="1"/>
    <xf numFmtId="0" fontId="16" fillId="0" borderId="0" xfId="0" applyFont="1" applyAlignment="1">
      <alignment vertical="center"/>
    </xf>
    <xf numFmtId="0" fontId="15" fillId="0" borderId="0" xfId="0" applyFont="1" applyAlignment="1">
      <alignment horizontal="left" vertical="top" wrapText="1" indent="1"/>
    </xf>
    <xf numFmtId="0" fontId="1" fillId="0" borderId="0" xfId="0" applyFont="1" applyAlignment="1">
      <alignment horizontal="left" vertical="top"/>
    </xf>
    <xf numFmtId="0" fontId="13" fillId="0" borderId="0" xfId="0" applyFont="1" applyAlignment="1">
      <alignment vertical="top"/>
    </xf>
    <xf numFmtId="0" fontId="2" fillId="0" borderId="0" xfId="1" applyAlignment="1" applyProtection="1">
      <alignment horizontal="left" vertical="top"/>
    </xf>
    <xf numFmtId="0" fontId="0" fillId="0" borderId="0" xfId="0" applyAlignment="1">
      <alignment vertical="top" wrapText="1"/>
    </xf>
    <xf numFmtId="0" fontId="17" fillId="0" borderId="0" xfId="3"/>
    <xf numFmtId="0" fontId="17" fillId="0" borderId="0" xfId="3" applyAlignment="1">
      <alignment wrapText="1"/>
    </xf>
    <xf numFmtId="0" fontId="0" fillId="0" borderId="0" xfId="0" applyAlignment="1">
      <alignment wrapText="1"/>
    </xf>
    <xf numFmtId="0" fontId="7" fillId="0" borderId="0" xfId="6"/>
    <xf numFmtId="0" fontId="7" fillId="0" borderId="0" xfId="7">
      <alignment vertical="top"/>
    </xf>
    <xf numFmtId="0" fontId="6" fillId="7" borderId="2" xfId="11" applyFill="1">
      <alignment horizontal="center" vertical="center"/>
    </xf>
    <xf numFmtId="0" fontId="6" fillId="2" borderId="2" xfId="11" applyFill="1">
      <alignment horizontal="center" vertical="center"/>
    </xf>
    <xf numFmtId="0" fontId="6" fillId="8" borderId="2" xfId="11" applyFill="1">
      <alignment horizontal="center" vertical="center"/>
    </xf>
    <xf numFmtId="0" fontId="6" fillId="3" borderId="2" xfId="11" applyFill="1">
      <alignment horizontal="center" vertical="center"/>
    </xf>
    <xf numFmtId="0" fontId="6" fillId="5" borderId="2" xfId="11" applyFill="1">
      <alignment horizontal="center" vertical="center"/>
    </xf>
    <xf numFmtId="0" fontId="6" fillId="10" borderId="2" xfId="11" applyFill="1">
      <alignment horizontal="center" vertical="center"/>
    </xf>
    <xf numFmtId="0" fontId="6" fillId="4" borderId="2" xfId="11" applyFill="1">
      <alignment horizontal="center" vertical="center"/>
    </xf>
    <xf numFmtId="0" fontId="6" fillId="9" borderId="2" xfId="11" applyFill="1">
      <alignment horizontal="center" vertical="center"/>
    </xf>
    <xf numFmtId="0" fontId="6" fillId="2" borderId="2" xfId="12" applyFill="1">
      <alignment horizontal="left" vertical="center" indent="2"/>
    </xf>
    <xf numFmtId="0" fontId="6" fillId="3" borderId="2" xfId="12" applyFill="1">
      <alignment horizontal="left" vertical="center" indent="2"/>
    </xf>
    <xf numFmtId="0" fontId="6" fillId="10" borderId="2" xfId="12" applyFill="1">
      <alignment horizontal="left" vertical="center" indent="2"/>
    </xf>
    <xf numFmtId="0" fontId="6" fillId="9" borderId="2" xfId="12" applyFill="1">
      <alignment horizontal="left" vertical="center" indent="2"/>
    </xf>
    <xf numFmtId="0" fontId="0" fillId="0" borderId="10" xfId="0" applyBorder="1"/>
    <xf numFmtId="0" fontId="18" fillId="0" borderId="0" xfId="1" applyFont="1" applyProtection="1">
      <alignment vertical="top"/>
    </xf>
    <xf numFmtId="0" fontId="3" fillId="0" borderId="0" xfId="0" applyFont="1" applyAlignment="1">
      <alignment vertical="top"/>
    </xf>
    <xf numFmtId="170" fontId="8" fillId="6" borderId="6" xfId="0" applyNumberFormat="1" applyFont="1" applyFill="1" applyBorder="1" applyAlignment="1">
      <alignment horizontal="center" vertical="center"/>
    </xf>
    <xf numFmtId="170" fontId="8" fillId="6" borderId="0" xfId="0" applyNumberFormat="1" applyFont="1" applyFill="1" applyAlignment="1">
      <alignment horizontal="center" vertical="center"/>
    </xf>
    <xf numFmtId="170" fontId="8" fillId="6" borderId="7" xfId="0" applyNumberFormat="1" applyFont="1" applyFill="1" applyBorder="1" applyAlignment="1">
      <alignment horizontal="center" vertical="center"/>
    </xf>
    <xf numFmtId="171" fontId="0" fillId="7" borderId="2" xfId="0" applyNumberFormat="1" applyFill="1" applyBorder="1" applyAlignment="1">
      <alignment horizontal="center" vertical="center"/>
    </xf>
    <xf numFmtId="171" fontId="3" fillId="7" borderId="2" xfId="0" applyNumberFormat="1" applyFont="1" applyFill="1" applyBorder="1" applyAlignment="1">
      <alignment horizontal="center" vertical="center"/>
    </xf>
    <xf numFmtId="171" fontId="6" fillId="2" borderId="2" xfId="10" applyFill="1">
      <alignment horizontal="center" vertical="center"/>
    </xf>
    <xf numFmtId="171" fontId="0" fillId="8" borderId="2" xfId="0" applyNumberFormat="1" applyFill="1" applyBorder="1" applyAlignment="1">
      <alignment horizontal="center" vertical="center"/>
    </xf>
    <xf numFmtId="171" fontId="3" fillId="8" borderId="2" xfId="0" applyNumberFormat="1" applyFont="1" applyFill="1" applyBorder="1" applyAlignment="1">
      <alignment horizontal="center" vertical="center"/>
    </xf>
    <xf numFmtId="171" fontId="6" fillId="3" borderId="2" xfId="10" applyFill="1">
      <alignment horizontal="center" vertical="center"/>
    </xf>
    <xf numFmtId="171" fontId="0" fillId="5" borderId="2" xfId="0" applyNumberFormat="1" applyFill="1" applyBorder="1" applyAlignment="1">
      <alignment horizontal="center" vertical="center"/>
    </xf>
    <xf numFmtId="171" fontId="3" fillId="5" borderId="2" xfId="0" applyNumberFormat="1" applyFont="1" applyFill="1" applyBorder="1" applyAlignment="1">
      <alignment horizontal="center" vertical="center"/>
    </xf>
    <xf numFmtId="171" fontId="6" fillId="10" borderId="2" xfId="10" applyFill="1">
      <alignment horizontal="center" vertical="center"/>
    </xf>
    <xf numFmtId="171" fontId="0" fillId="4" borderId="2" xfId="0" applyNumberFormat="1" applyFill="1" applyBorder="1" applyAlignment="1">
      <alignment horizontal="center" vertical="center"/>
    </xf>
    <xf numFmtId="171" fontId="3" fillId="4" borderId="2" xfId="0" applyNumberFormat="1" applyFont="1" applyFill="1" applyBorder="1" applyAlignment="1">
      <alignment horizontal="center" vertical="center"/>
    </xf>
    <xf numFmtId="171" fontId="6" fillId="9" borderId="2" xfId="10" applyFill="1">
      <alignment horizontal="center" vertical="center"/>
    </xf>
    <xf numFmtId="0" fontId="0" fillId="10" borderId="2" xfId="12" applyFont="1" applyFill="1">
      <alignment horizontal="left" vertical="center" indent="2"/>
    </xf>
    <xf numFmtId="0" fontId="0" fillId="9" borderId="2" xfId="11" applyFont="1" applyFill="1">
      <alignment horizontal="center" vertical="center"/>
    </xf>
    <xf numFmtId="0" fontId="0" fillId="44" borderId="2" xfId="11" applyFont="1" applyFill="1">
      <alignment horizontal="center" vertical="center"/>
    </xf>
    <xf numFmtId="9" fontId="3" fillId="44" borderId="2" xfId="2" applyFont="1" applyFill="1" applyBorder="1" applyAlignment="1">
      <alignment horizontal="center" vertical="center"/>
    </xf>
    <xf numFmtId="0" fontId="0" fillId="45" borderId="2" xfId="11" applyFont="1" applyFill="1">
      <alignment horizontal="center" vertical="center"/>
    </xf>
    <xf numFmtId="9" fontId="3" fillId="45" borderId="2" xfId="2" applyFont="1" applyFill="1" applyBorder="1" applyAlignment="1">
      <alignment horizontal="center" vertical="center"/>
    </xf>
    <xf numFmtId="0" fontId="0" fillId="5" borderId="2" xfId="12" applyFont="1" applyFill="1">
      <alignment horizontal="left" vertical="center" indent="2"/>
    </xf>
    <xf numFmtId="0" fontId="0" fillId="5" borderId="2" xfId="11" applyFont="1" applyFill="1">
      <alignment horizontal="center" vertical="center"/>
    </xf>
    <xf numFmtId="171" fontId="0" fillId="5" borderId="2" xfId="10" applyFont="1" applyFill="1">
      <alignment horizontal="center" vertical="center"/>
    </xf>
    <xf numFmtId="9" fontId="3" fillId="5" borderId="0" xfId="2" applyFont="1" applyFill="1" applyBorder="1" applyAlignment="1">
      <alignment horizontal="center" vertical="center"/>
    </xf>
    <xf numFmtId="0" fontId="4" fillId="44" borderId="2" xfId="0" applyFont="1" applyFill="1" applyBorder="1" applyAlignment="1">
      <alignment horizontal="left" vertical="center" indent="1"/>
    </xf>
    <xf numFmtId="171" fontId="0" fillId="44" borderId="2" xfId="0" applyNumberFormat="1" applyFill="1" applyBorder="1" applyAlignment="1">
      <alignment horizontal="center" vertical="center"/>
    </xf>
    <xf numFmtId="171" fontId="3" fillId="44" borderId="2" xfId="0" applyNumberFormat="1" applyFont="1" applyFill="1" applyBorder="1" applyAlignment="1">
      <alignment horizontal="center" vertical="center"/>
    </xf>
    <xf numFmtId="0" fontId="0" fillId="46" borderId="2" xfId="12" applyFont="1" applyFill="1">
      <alignment horizontal="left" vertical="center" indent="2"/>
    </xf>
    <xf numFmtId="0" fontId="0" fillId="46" borderId="2" xfId="11" applyFont="1" applyFill="1">
      <alignment horizontal="center" vertical="center"/>
    </xf>
    <xf numFmtId="9" fontId="3" fillId="46" borderId="2" xfId="2" applyFont="1" applyFill="1" applyBorder="1" applyAlignment="1">
      <alignment horizontal="center" vertical="center"/>
    </xf>
    <xf numFmtId="171" fontId="0" fillId="46" borderId="2" xfId="10" applyFont="1" applyFill="1">
      <alignment horizontal="center" vertical="center"/>
    </xf>
    <xf numFmtId="0" fontId="4" fillId="45" borderId="2" xfId="0" applyFont="1" applyFill="1" applyBorder="1" applyAlignment="1">
      <alignment horizontal="left" vertical="center" indent="1"/>
    </xf>
    <xf numFmtId="171" fontId="0" fillId="45" borderId="2" xfId="0" applyNumberFormat="1" applyFill="1" applyBorder="1" applyAlignment="1">
      <alignment horizontal="center" vertical="center"/>
    </xf>
    <xf numFmtId="171" fontId="3" fillId="45" borderId="2" xfId="0" applyNumberFormat="1" applyFont="1" applyFill="1" applyBorder="1" applyAlignment="1">
      <alignment horizontal="center" vertical="center"/>
    </xf>
    <xf numFmtId="0" fontId="3" fillId="47" borderId="2" xfId="0" applyFont="1" applyFill="1" applyBorder="1" applyAlignment="1">
      <alignment horizontal="center" vertical="center"/>
    </xf>
    <xf numFmtId="0" fontId="0" fillId="47" borderId="9" xfId="0" applyFill="1" applyBorder="1" applyAlignment="1">
      <alignment vertical="center"/>
    </xf>
    <xf numFmtId="0" fontId="0" fillId="2" borderId="2" xfId="11" applyFont="1" applyFill="1">
      <alignment horizontal="center" vertical="center"/>
    </xf>
    <xf numFmtId="0" fontId="0" fillId="3" borderId="2" xfId="11" applyFont="1" applyFill="1">
      <alignment horizontal="center" vertical="center"/>
    </xf>
    <xf numFmtId="0" fontId="0" fillId="10" borderId="2" xfId="11" applyFont="1" applyFill="1">
      <alignment horizontal="center" vertical="center"/>
    </xf>
    <xf numFmtId="0" fontId="0" fillId="3" borderId="2" xfId="11" applyFont="1" applyFill="1" applyAlignment="1">
      <alignment horizontal="center" vertical="center" wrapText="1"/>
    </xf>
    <xf numFmtId="0" fontId="6" fillId="10" borderId="2" xfId="11" applyFill="1" applyAlignment="1">
      <alignment horizontal="center" vertical="center" wrapText="1"/>
    </xf>
    <xf numFmtId="0" fontId="0" fillId="46" borderId="2" xfId="11" applyFont="1" applyFill="1" applyAlignment="1">
      <alignment horizontal="center" vertical="center" wrapText="1"/>
    </xf>
    <xf numFmtId="14" fontId="6" fillId="9" borderId="2" xfId="10" applyNumberFormat="1" applyFill="1">
      <alignment horizontal="center" vertical="center"/>
    </xf>
    <xf numFmtId="9" fontId="3" fillId="46" borderId="0" xfId="2" applyFont="1" applyFill="1" applyBorder="1" applyAlignment="1">
      <alignment horizontal="center" vertical="center"/>
    </xf>
    <xf numFmtId="169" fontId="0" fillId="6" borderId="4" xfId="0" applyNumberFormat="1" applyFill="1" applyBorder="1" applyAlignment="1">
      <alignment horizontal="left" vertical="center" wrapText="1" indent="1"/>
    </xf>
    <xf numFmtId="169" fontId="0" fillId="6" borderId="1" xfId="0" applyNumberFormat="1" applyFill="1" applyBorder="1" applyAlignment="1">
      <alignment horizontal="left" vertical="center" wrapText="1" indent="1"/>
    </xf>
    <xf numFmtId="169" fontId="0" fillId="6" borderId="5" xfId="0" applyNumberFormat="1" applyFill="1" applyBorder="1" applyAlignment="1">
      <alignment horizontal="left" vertical="center" wrapText="1" indent="1"/>
    </xf>
    <xf numFmtId="0" fontId="10" fillId="0" borderId="0" xfId="5" applyAlignment="1">
      <alignment horizontal="center"/>
    </xf>
    <xf numFmtId="0" fontId="6" fillId="0" borderId="0" xfId="8">
      <alignment horizontal="right" indent="1"/>
    </xf>
    <xf numFmtId="0" fontId="6" fillId="0" borderId="7" xfId="8" applyBorder="1">
      <alignment horizontal="right" indent="1"/>
    </xf>
    <xf numFmtId="168" fontId="6" fillId="0" borderId="17" xfId="9" applyBorder="1">
      <alignment horizontal="center" vertical="center"/>
    </xf>
    <xf numFmtId="168" fontId="6" fillId="0" borderId="18" xfId="9" applyBorder="1">
      <alignment horizontal="center" vertical="center"/>
    </xf>
    <xf numFmtId="168" fontId="6" fillId="0" borderId="3" xfId="9">
      <alignment horizontal="center" vertical="center"/>
    </xf>
    <xf numFmtId="0" fontId="32" fillId="0" borderId="0" xfId="0" applyFont="1"/>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5">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4"/>
      <tableStyleElement type="headerRow" dxfId="13"/>
      <tableStyleElement type="totalRow" dxfId="12"/>
      <tableStyleElement type="firstColumn" dxfId="11"/>
      <tableStyleElement type="lastColumn" dxfId="10"/>
      <tableStyleElement type="firstRowStripe" dxfId="9"/>
      <tableStyleElement type="secondRowStripe" dxfId="8"/>
      <tableStyleElement type="firstColumnStripe" dxfId="7"/>
      <tableStyleElement type="secondColumn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3D44A-2589-4BFA-B4CC-4E156C0E1C11}">
  <sheetPr>
    <pageSetUpPr fitToPage="1"/>
  </sheetPr>
  <dimension ref="A1:DW72"/>
  <sheetViews>
    <sheetView showGridLines="0" tabSelected="1" showRuler="0" zoomScale="103" zoomScaleNormal="48" zoomScalePageLayoutView="70" workbookViewId="0">
      <pane ySplit="6" topLeftCell="A8" activePane="bottomLeft" state="frozen"/>
      <selection pane="bottomLeft" activeCell="B4" sqref="B4"/>
    </sheetView>
  </sheetViews>
  <sheetFormatPr baseColWidth="10" defaultColWidth="9.08984375" defaultRowHeight="30" customHeight="1" x14ac:dyDescent="0.35"/>
  <cols>
    <col min="1" max="1" width="2.6328125" style="33" customWidth="1"/>
    <col min="2" max="2" width="67.90625" customWidth="1"/>
    <col min="3" max="3" width="37.6328125" customWidth="1"/>
    <col min="4" max="4" width="10.6328125" customWidth="1"/>
    <col min="5" max="5" width="11.6328125" style="3" customWidth="1"/>
    <col min="6" max="6" width="10.453125" customWidth="1"/>
    <col min="7" max="7" width="4.7265625" customWidth="1"/>
    <col min="8" max="8" width="6.08984375" hidden="1" customWidth="1"/>
    <col min="9" max="64" width="3.36328125" customWidth="1"/>
    <col min="65" max="65" width="3.90625" customWidth="1"/>
    <col min="66" max="67" width="3.453125" customWidth="1"/>
    <col min="68" max="68" width="3.08984375" customWidth="1"/>
    <col min="69" max="69" width="2.6328125" customWidth="1"/>
    <col min="70" max="70" width="3.08984375" customWidth="1"/>
    <col min="71" max="71" width="3.54296875" customWidth="1"/>
    <col min="72" max="72" width="3.36328125" customWidth="1"/>
    <col min="73" max="73" width="3.54296875" customWidth="1"/>
    <col min="74" max="74" width="3.90625" customWidth="1"/>
    <col min="75" max="75" width="3.6328125" customWidth="1"/>
    <col min="76" max="78" width="3.54296875" customWidth="1"/>
    <col min="79" max="79" width="3.36328125" customWidth="1"/>
    <col min="80" max="81" width="3.453125" customWidth="1"/>
    <col min="82" max="82" width="3.6328125" customWidth="1"/>
    <col min="83" max="83" width="3.08984375" customWidth="1"/>
    <col min="84" max="84" width="3.90625" customWidth="1"/>
    <col min="85" max="85" width="3.54296875" customWidth="1"/>
    <col min="86" max="86" width="3.453125" customWidth="1"/>
    <col min="87" max="87" width="2.90625" customWidth="1"/>
    <col min="88" max="88" width="3" customWidth="1"/>
    <col min="89" max="89" width="3.36328125" customWidth="1"/>
    <col min="90" max="90" width="3.453125" customWidth="1"/>
    <col min="91" max="91" width="3.90625" customWidth="1"/>
    <col min="92" max="92" width="2.90625" customWidth="1"/>
    <col min="93" max="93" width="3.453125" customWidth="1"/>
    <col min="94" max="94" width="2.90625" customWidth="1"/>
    <col min="95" max="95" width="3" customWidth="1"/>
    <col min="96" max="96" width="3.36328125" customWidth="1"/>
    <col min="97" max="97" width="3.453125" customWidth="1"/>
    <col min="98" max="98" width="3.90625" customWidth="1"/>
    <col min="99" max="99" width="2.90625" customWidth="1"/>
    <col min="100" max="100" width="3.453125" customWidth="1"/>
    <col min="101" max="101" width="2.90625" customWidth="1"/>
    <col min="102" max="102" width="3" customWidth="1"/>
    <col min="103" max="103" width="3.36328125" customWidth="1"/>
    <col min="104" max="104" width="3.453125" customWidth="1"/>
    <col min="105" max="105" width="3.90625" customWidth="1"/>
    <col min="106" max="106" width="2.90625" customWidth="1"/>
    <col min="107" max="107" width="3.453125" customWidth="1"/>
    <col min="108" max="108" width="2.90625" customWidth="1"/>
    <col min="109" max="109" width="3" customWidth="1"/>
    <col min="110" max="110" width="3.36328125" customWidth="1"/>
    <col min="111" max="111" width="3.453125" customWidth="1"/>
    <col min="112" max="112" width="3.90625" customWidth="1"/>
    <col min="113" max="113" width="2.90625" customWidth="1"/>
    <col min="114" max="114" width="3.453125" customWidth="1"/>
    <col min="115" max="115" width="2.90625" customWidth="1"/>
    <col min="116" max="116" width="3" customWidth="1"/>
    <col min="117" max="117" width="3.36328125" customWidth="1"/>
    <col min="118" max="118" width="3.453125" customWidth="1"/>
    <col min="119" max="119" width="3.90625" customWidth="1"/>
    <col min="120" max="120" width="2.90625" customWidth="1"/>
    <col min="121" max="121" width="3.453125" customWidth="1"/>
    <col min="122" max="122" width="2.90625" customWidth="1"/>
    <col min="123" max="123" width="3" customWidth="1"/>
    <col min="124" max="124" width="3.36328125" customWidth="1"/>
    <col min="125" max="125" width="3.453125" customWidth="1"/>
    <col min="126" max="126" width="3.90625" customWidth="1"/>
    <col min="127" max="127" width="2.90625" customWidth="1"/>
    <col min="16378" max="16383" width="9.08984375" bestFit="1" customWidth="1"/>
  </cols>
  <sheetData>
    <row r="1" spans="1:127" ht="30" customHeight="1" x14ac:dyDescent="0.65">
      <c r="A1" s="34" t="s">
        <v>0</v>
      </c>
      <c r="B1" s="101" t="s">
        <v>55</v>
      </c>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1"/>
      <c r="CH1" s="101"/>
      <c r="CI1" s="101"/>
      <c r="CJ1" s="101"/>
      <c r="CK1" s="101"/>
      <c r="CL1" s="101"/>
      <c r="CM1" s="101"/>
      <c r="CN1" s="101"/>
    </row>
    <row r="2" spans="1:127" ht="30" customHeight="1" x14ac:dyDescent="0.45">
      <c r="A2" s="33" t="s">
        <v>2</v>
      </c>
      <c r="B2" s="36" t="s">
        <v>3</v>
      </c>
      <c r="I2" s="51"/>
    </row>
    <row r="3" spans="1:127" ht="30" customHeight="1" x14ac:dyDescent="0.35">
      <c r="A3" s="33" t="s">
        <v>5</v>
      </c>
      <c r="B3" s="37"/>
      <c r="C3" s="102" t="s">
        <v>6</v>
      </c>
      <c r="D3" s="103"/>
      <c r="E3" s="104">
        <v>46146</v>
      </c>
      <c r="F3" s="105"/>
    </row>
    <row r="4" spans="1:127" ht="37.5" customHeight="1" x14ac:dyDescent="0.35">
      <c r="A4" s="34" t="s">
        <v>7</v>
      </c>
      <c r="B4" s="107"/>
      <c r="C4" s="102" t="s">
        <v>8</v>
      </c>
      <c r="D4" s="103"/>
      <c r="E4" s="4">
        <v>1</v>
      </c>
      <c r="I4" s="98" t="s">
        <v>9</v>
      </c>
      <c r="J4" s="99"/>
      <c r="K4" s="99"/>
      <c r="L4" s="99"/>
      <c r="M4" s="99"/>
      <c r="N4" s="99"/>
      <c r="O4" s="100"/>
      <c r="P4" s="98" t="s">
        <v>10</v>
      </c>
      <c r="Q4" s="99"/>
      <c r="R4" s="99"/>
      <c r="S4" s="99"/>
      <c r="T4" s="99"/>
      <c r="U4" s="99"/>
      <c r="V4" s="100"/>
      <c r="W4" s="98" t="s">
        <v>11</v>
      </c>
      <c r="X4" s="99"/>
      <c r="Y4" s="99"/>
      <c r="Z4" s="99"/>
      <c r="AA4" s="99"/>
      <c r="AB4" s="99"/>
      <c r="AC4" s="100"/>
      <c r="AD4" s="98" t="s">
        <v>12</v>
      </c>
      <c r="AE4" s="99"/>
      <c r="AF4" s="99"/>
      <c r="AG4" s="99"/>
      <c r="AH4" s="99"/>
      <c r="AI4" s="99"/>
      <c r="AJ4" s="100"/>
      <c r="AK4" s="98" t="s">
        <v>13</v>
      </c>
      <c r="AL4" s="99"/>
      <c r="AM4" s="99"/>
      <c r="AN4" s="99"/>
      <c r="AO4" s="99"/>
      <c r="AP4" s="99"/>
      <c r="AQ4" s="100"/>
      <c r="AR4" s="98" t="s">
        <v>14</v>
      </c>
      <c r="AS4" s="99"/>
      <c r="AT4" s="99"/>
      <c r="AU4" s="99"/>
      <c r="AV4" s="99"/>
      <c r="AW4" s="99"/>
      <c r="AX4" s="100"/>
      <c r="AY4" s="98" t="s">
        <v>15</v>
      </c>
      <c r="AZ4" s="99"/>
      <c r="BA4" s="99"/>
      <c r="BB4" s="99"/>
      <c r="BC4" s="99"/>
      <c r="BD4" s="99"/>
      <c r="BE4" s="100"/>
      <c r="BF4" s="98" t="s">
        <v>16</v>
      </c>
      <c r="BG4" s="99"/>
      <c r="BH4" s="99"/>
      <c r="BI4" s="99"/>
      <c r="BJ4" s="99"/>
      <c r="BK4" s="99"/>
      <c r="BL4" s="100"/>
      <c r="BM4" s="98" t="s">
        <v>17</v>
      </c>
      <c r="BN4" s="99"/>
      <c r="BO4" s="99"/>
      <c r="BP4" s="99"/>
      <c r="BQ4" s="99"/>
      <c r="BR4" s="99"/>
      <c r="BS4" s="100"/>
      <c r="BT4" s="98" t="s">
        <v>18</v>
      </c>
      <c r="BU4" s="99"/>
      <c r="BV4" s="99"/>
      <c r="BW4" s="99"/>
      <c r="BX4" s="99"/>
      <c r="BY4" s="99"/>
      <c r="BZ4" s="100"/>
      <c r="CA4" s="98" t="s">
        <v>19</v>
      </c>
      <c r="CB4" s="99"/>
      <c r="CC4" s="99"/>
      <c r="CD4" s="99"/>
      <c r="CE4" s="99"/>
      <c r="CF4" s="99"/>
      <c r="CG4" s="100"/>
      <c r="CH4" s="98" t="s">
        <v>20</v>
      </c>
      <c r="CI4" s="99"/>
      <c r="CJ4" s="99"/>
      <c r="CK4" s="99"/>
      <c r="CL4" s="99"/>
      <c r="CM4" s="99"/>
      <c r="CN4" s="100"/>
      <c r="CO4" s="98" t="s">
        <v>139</v>
      </c>
      <c r="CP4" s="99"/>
      <c r="CQ4" s="99"/>
      <c r="CR4" s="99"/>
      <c r="CS4" s="99"/>
      <c r="CT4" s="99"/>
      <c r="CU4" s="100"/>
      <c r="CV4" s="98" t="s">
        <v>140</v>
      </c>
      <c r="CW4" s="99"/>
      <c r="CX4" s="99"/>
      <c r="CY4" s="99"/>
      <c r="CZ4" s="99"/>
      <c r="DA4" s="99"/>
      <c r="DB4" s="100"/>
      <c r="DC4" s="98" t="s">
        <v>141</v>
      </c>
      <c r="DD4" s="99"/>
      <c r="DE4" s="99"/>
      <c r="DF4" s="99"/>
      <c r="DG4" s="99"/>
      <c r="DH4" s="99"/>
      <c r="DI4" s="100"/>
      <c r="DJ4" s="98" t="s">
        <v>142</v>
      </c>
      <c r="DK4" s="99"/>
      <c r="DL4" s="99"/>
      <c r="DM4" s="99"/>
      <c r="DN4" s="99"/>
      <c r="DO4" s="99"/>
      <c r="DP4" s="100"/>
      <c r="DQ4" s="98" t="s">
        <v>143</v>
      </c>
      <c r="DR4" s="99"/>
      <c r="DS4" s="99"/>
      <c r="DT4" s="99"/>
      <c r="DU4" s="99"/>
      <c r="DV4" s="99"/>
      <c r="DW4" s="100"/>
    </row>
    <row r="5" spans="1:127" ht="15" customHeight="1" x14ac:dyDescent="0.35">
      <c r="A5" s="34" t="s">
        <v>21</v>
      </c>
      <c r="B5" s="50"/>
      <c r="C5" s="50"/>
      <c r="D5" s="50"/>
      <c r="E5" s="50"/>
      <c r="F5" s="50"/>
      <c r="G5" s="50"/>
      <c r="I5" s="53">
        <f>Inicio_del_proyecto-WEEKDAY(Inicio_del_proyecto,1)+2+7*(Semana_para_mostrar-1)</f>
        <v>46146</v>
      </c>
      <c r="J5" s="54">
        <f>I5+1</f>
        <v>46147</v>
      </c>
      <c r="K5" s="54">
        <f t="shared" ref="K5:AX5" si="0">J5+1</f>
        <v>46148</v>
      </c>
      <c r="L5" s="54">
        <f t="shared" si="0"/>
        <v>46149</v>
      </c>
      <c r="M5" s="54">
        <f t="shared" si="0"/>
        <v>46150</v>
      </c>
      <c r="N5" s="54">
        <f t="shared" si="0"/>
        <v>46151</v>
      </c>
      <c r="O5" s="55">
        <f t="shared" si="0"/>
        <v>46152</v>
      </c>
      <c r="P5" s="53">
        <f>O5+1</f>
        <v>46153</v>
      </c>
      <c r="Q5" s="54">
        <f>P5+1</f>
        <v>46154</v>
      </c>
      <c r="R5" s="54">
        <f t="shared" si="0"/>
        <v>46155</v>
      </c>
      <c r="S5" s="54">
        <f t="shared" si="0"/>
        <v>46156</v>
      </c>
      <c r="T5" s="54">
        <f t="shared" si="0"/>
        <v>46157</v>
      </c>
      <c r="U5" s="54">
        <f t="shared" si="0"/>
        <v>46158</v>
      </c>
      <c r="V5" s="55">
        <f t="shared" si="0"/>
        <v>46159</v>
      </c>
      <c r="W5" s="53">
        <f>V5+1</f>
        <v>46160</v>
      </c>
      <c r="X5" s="54">
        <f>W5+1</f>
        <v>46161</v>
      </c>
      <c r="Y5" s="54">
        <f t="shared" si="0"/>
        <v>46162</v>
      </c>
      <c r="Z5" s="54">
        <f t="shared" si="0"/>
        <v>46163</v>
      </c>
      <c r="AA5" s="54">
        <f t="shared" si="0"/>
        <v>46164</v>
      </c>
      <c r="AB5" s="54">
        <f t="shared" si="0"/>
        <v>46165</v>
      </c>
      <c r="AC5" s="55">
        <f t="shared" si="0"/>
        <v>46166</v>
      </c>
      <c r="AD5" s="53">
        <f>AC5+1</f>
        <v>46167</v>
      </c>
      <c r="AE5" s="54">
        <f>AD5+1</f>
        <v>46168</v>
      </c>
      <c r="AF5" s="54">
        <f t="shared" si="0"/>
        <v>46169</v>
      </c>
      <c r="AG5" s="54">
        <f t="shared" si="0"/>
        <v>46170</v>
      </c>
      <c r="AH5" s="54">
        <f t="shared" si="0"/>
        <v>46171</v>
      </c>
      <c r="AI5" s="54">
        <f t="shared" si="0"/>
        <v>46172</v>
      </c>
      <c r="AJ5" s="55">
        <f t="shared" si="0"/>
        <v>46173</v>
      </c>
      <c r="AK5" s="53">
        <f>AJ5+1</f>
        <v>46174</v>
      </c>
      <c r="AL5" s="54">
        <f>AK5+1</f>
        <v>46175</v>
      </c>
      <c r="AM5" s="54">
        <f t="shared" si="0"/>
        <v>46176</v>
      </c>
      <c r="AN5" s="54">
        <f t="shared" si="0"/>
        <v>46177</v>
      </c>
      <c r="AO5" s="54">
        <f t="shared" si="0"/>
        <v>46178</v>
      </c>
      <c r="AP5" s="54">
        <f t="shared" si="0"/>
        <v>46179</v>
      </c>
      <c r="AQ5" s="55">
        <f t="shared" si="0"/>
        <v>46180</v>
      </c>
      <c r="AR5" s="53">
        <f>AQ5+1</f>
        <v>46181</v>
      </c>
      <c r="AS5" s="54">
        <f>AR5+1</f>
        <v>46182</v>
      </c>
      <c r="AT5" s="54">
        <f t="shared" si="0"/>
        <v>46183</v>
      </c>
      <c r="AU5" s="54">
        <f t="shared" si="0"/>
        <v>46184</v>
      </c>
      <c r="AV5" s="54">
        <f t="shared" si="0"/>
        <v>46185</v>
      </c>
      <c r="AW5" s="54">
        <f t="shared" si="0"/>
        <v>46186</v>
      </c>
      <c r="AX5" s="55">
        <f t="shared" si="0"/>
        <v>46187</v>
      </c>
      <c r="AY5" s="53">
        <f>AX5+1</f>
        <v>46188</v>
      </c>
      <c r="AZ5" s="54">
        <f>AY5+1</f>
        <v>46189</v>
      </c>
      <c r="BA5" s="54">
        <f t="shared" ref="BA5:BE5" si="1">AZ5+1</f>
        <v>46190</v>
      </c>
      <c r="BB5" s="54">
        <f t="shared" si="1"/>
        <v>46191</v>
      </c>
      <c r="BC5" s="54">
        <f t="shared" si="1"/>
        <v>46192</v>
      </c>
      <c r="BD5" s="54">
        <f t="shared" si="1"/>
        <v>46193</v>
      </c>
      <c r="BE5" s="55">
        <f t="shared" si="1"/>
        <v>46194</v>
      </c>
      <c r="BF5" s="53">
        <f>BE5+1</f>
        <v>46195</v>
      </c>
      <c r="BG5" s="54">
        <f>BF5+1</f>
        <v>46196</v>
      </c>
      <c r="BH5" s="54">
        <f t="shared" ref="BH5:CN5" si="2">BG5+1</f>
        <v>46197</v>
      </c>
      <c r="BI5" s="54">
        <f t="shared" si="2"/>
        <v>46198</v>
      </c>
      <c r="BJ5" s="54">
        <f t="shared" si="2"/>
        <v>46199</v>
      </c>
      <c r="BK5" s="54">
        <f t="shared" si="2"/>
        <v>46200</v>
      </c>
      <c r="BL5" s="55">
        <f t="shared" si="2"/>
        <v>46201</v>
      </c>
      <c r="BM5" s="53">
        <f t="shared" si="2"/>
        <v>46202</v>
      </c>
      <c r="BN5" s="54">
        <f t="shared" si="2"/>
        <v>46203</v>
      </c>
      <c r="BO5" s="54">
        <f t="shared" si="2"/>
        <v>46204</v>
      </c>
      <c r="BP5" s="54">
        <f t="shared" si="2"/>
        <v>46205</v>
      </c>
      <c r="BQ5" s="54">
        <f t="shared" si="2"/>
        <v>46206</v>
      </c>
      <c r="BR5" s="54">
        <f t="shared" si="2"/>
        <v>46207</v>
      </c>
      <c r="BS5" s="55">
        <f t="shared" si="2"/>
        <v>46208</v>
      </c>
      <c r="BT5" s="53">
        <f t="shared" si="2"/>
        <v>46209</v>
      </c>
      <c r="BU5" s="54">
        <f t="shared" si="2"/>
        <v>46210</v>
      </c>
      <c r="BV5" s="54">
        <f t="shared" si="2"/>
        <v>46211</v>
      </c>
      <c r="BW5" s="54">
        <f t="shared" si="2"/>
        <v>46212</v>
      </c>
      <c r="BX5" s="54">
        <f t="shared" si="2"/>
        <v>46213</v>
      </c>
      <c r="BY5" s="54">
        <f t="shared" si="2"/>
        <v>46214</v>
      </c>
      <c r="BZ5" s="55">
        <f t="shared" si="2"/>
        <v>46215</v>
      </c>
      <c r="CA5" s="53">
        <f t="shared" si="2"/>
        <v>46216</v>
      </c>
      <c r="CB5" s="54">
        <f t="shared" si="2"/>
        <v>46217</v>
      </c>
      <c r="CC5" s="54">
        <f t="shared" si="2"/>
        <v>46218</v>
      </c>
      <c r="CD5" s="54">
        <f t="shared" si="2"/>
        <v>46219</v>
      </c>
      <c r="CE5" s="54">
        <f t="shared" si="2"/>
        <v>46220</v>
      </c>
      <c r="CF5" s="54">
        <f t="shared" si="2"/>
        <v>46221</v>
      </c>
      <c r="CG5" s="55">
        <f t="shared" si="2"/>
        <v>46222</v>
      </c>
      <c r="CH5" s="53">
        <f t="shared" si="2"/>
        <v>46223</v>
      </c>
      <c r="CI5" s="54">
        <f t="shared" si="2"/>
        <v>46224</v>
      </c>
      <c r="CJ5" s="54">
        <f t="shared" si="2"/>
        <v>46225</v>
      </c>
      <c r="CK5" s="54">
        <f t="shared" si="2"/>
        <v>46226</v>
      </c>
      <c r="CL5" s="54">
        <f t="shared" si="2"/>
        <v>46227</v>
      </c>
      <c r="CM5" s="54">
        <f t="shared" si="2"/>
        <v>46228</v>
      </c>
      <c r="CN5" s="55">
        <f t="shared" si="2"/>
        <v>46229</v>
      </c>
      <c r="CO5" s="53">
        <f t="shared" ref="CO5" si="3">CN5+1</f>
        <v>46230</v>
      </c>
      <c r="CP5" s="54">
        <f t="shared" ref="CP5" si="4">CO5+1</f>
        <v>46231</v>
      </c>
      <c r="CQ5" s="54">
        <f t="shared" ref="CQ5" si="5">CP5+1</f>
        <v>46232</v>
      </c>
      <c r="CR5" s="54">
        <f t="shared" ref="CR5" si="6">CQ5+1</f>
        <v>46233</v>
      </c>
      <c r="CS5" s="54">
        <f t="shared" ref="CS5" si="7">CR5+1</f>
        <v>46234</v>
      </c>
      <c r="CT5" s="54">
        <f t="shared" ref="CT5" si="8">CS5+1</f>
        <v>46235</v>
      </c>
      <c r="CU5" s="55">
        <f t="shared" ref="CU5" si="9">CT5+1</f>
        <v>46236</v>
      </c>
      <c r="CV5" s="53">
        <f t="shared" ref="CV5" si="10">CU5+1</f>
        <v>46237</v>
      </c>
      <c r="CW5" s="54">
        <f t="shared" ref="CW5" si="11">CV5+1</f>
        <v>46238</v>
      </c>
      <c r="CX5" s="54">
        <f t="shared" ref="CX5" si="12">CW5+1</f>
        <v>46239</v>
      </c>
      <c r="CY5" s="54">
        <f t="shared" ref="CY5" si="13">CX5+1</f>
        <v>46240</v>
      </c>
      <c r="CZ5" s="54">
        <f t="shared" ref="CZ5" si="14">CY5+1</f>
        <v>46241</v>
      </c>
      <c r="DA5" s="54">
        <f t="shared" ref="DA5" si="15">CZ5+1</f>
        <v>46242</v>
      </c>
      <c r="DB5" s="55">
        <f t="shared" ref="DB5" si="16">DA5+1</f>
        <v>46243</v>
      </c>
      <c r="DC5" s="53">
        <f t="shared" ref="DC5" si="17">DB5+1</f>
        <v>46244</v>
      </c>
      <c r="DD5" s="54">
        <f t="shared" ref="DD5" si="18">DC5+1</f>
        <v>46245</v>
      </c>
      <c r="DE5" s="54">
        <f t="shared" ref="DE5" si="19">DD5+1</f>
        <v>46246</v>
      </c>
      <c r="DF5" s="54">
        <f t="shared" ref="DF5" si="20">DE5+1</f>
        <v>46247</v>
      </c>
      <c r="DG5" s="54">
        <f t="shared" ref="DG5" si="21">DF5+1</f>
        <v>46248</v>
      </c>
      <c r="DH5" s="54">
        <f t="shared" ref="DH5" si="22">DG5+1</f>
        <v>46249</v>
      </c>
      <c r="DI5" s="55">
        <f t="shared" ref="DI5" si="23">DH5+1</f>
        <v>46250</v>
      </c>
      <c r="DJ5" s="53">
        <f t="shared" ref="DJ5" si="24">DI5+1</f>
        <v>46251</v>
      </c>
      <c r="DK5" s="54">
        <f t="shared" ref="DK5" si="25">DJ5+1</f>
        <v>46252</v>
      </c>
      <c r="DL5" s="54">
        <f t="shared" ref="DL5" si="26">DK5+1</f>
        <v>46253</v>
      </c>
      <c r="DM5" s="54">
        <f t="shared" ref="DM5" si="27">DL5+1</f>
        <v>46254</v>
      </c>
      <c r="DN5" s="54">
        <f t="shared" ref="DN5" si="28">DM5+1</f>
        <v>46255</v>
      </c>
      <c r="DO5" s="54">
        <f t="shared" ref="DO5" si="29">DN5+1</f>
        <v>46256</v>
      </c>
      <c r="DP5" s="55">
        <f t="shared" ref="DP5" si="30">DO5+1</f>
        <v>46257</v>
      </c>
      <c r="DQ5" s="53">
        <f t="shared" ref="DQ5" si="31">DP5+1</f>
        <v>46258</v>
      </c>
      <c r="DR5" s="54">
        <f t="shared" ref="DR5" si="32">DQ5+1</f>
        <v>46259</v>
      </c>
      <c r="DS5" s="54">
        <f t="shared" ref="DS5" si="33">DR5+1</f>
        <v>46260</v>
      </c>
      <c r="DT5" s="54">
        <f t="shared" ref="DT5" si="34">DS5+1</f>
        <v>46261</v>
      </c>
      <c r="DU5" s="54">
        <f t="shared" ref="DU5" si="35">DT5+1</f>
        <v>46262</v>
      </c>
      <c r="DV5" s="54">
        <f t="shared" ref="DV5" si="36">DU5+1</f>
        <v>46263</v>
      </c>
      <c r="DW5" s="55">
        <f t="shared" ref="DW5" si="37">DV5+1</f>
        <v>46264</v>
      </c>
    </row>
    <row r="6" spans="1:127" ht="30" customHeight="1" thickBot="1" x14ac:dyDescent="0.4">
      <c r="A6" s="34" t="s">
        <v>22</v>
      </c>
      <c r="B6" s="5" t="s">
        <v>23</v>
      </c>
      <c r="C6" s="6" t="s">
        <v>24</v>
      </c>
      <c r="D6" s="6" t="s">
        <v>25</v>
      </c>
      <c r="E6" s="6" t="s">
        <v>26</v>
      </c>
      <c r="F6" s="6" t="s">
        <v>27</v>
      </c>
      <c r="G6" s="6"/>
      <c r="H6" s="6" t="s">
        <v>28</v>
      </c>
      <c r="I6" s="7" t="str">
        <f t="shared" ref="I6:BT6" si="38">LEFT(TEXT(I5,"ddd"),1)</f>
        <v>l</v>
      </c>
      <c r="J6" s="7" t="str">
        <f t="shared" si="38"/>
        <v>m</v>
      </c>
      <c r="K6" s="7" t="str">
        <f t="shared" si="38"/>
        <v>m</v>
      </c>
      <c r="L6" s="7" t="str">
        <f t="shared" si="38"/>
        <v>j</v>
      </c>
      <c r="M6" s="7" t="str">
        <f t="shared" si="38"/>
        <v>v</v>
      </c>
      <c r="N6" s="7" t="str">
        <f t="shared" si="38"/>
        <v>s</v>
      </c>
      <c r="O6" s="7" t="str">
        <f t="shared" si="38"/>
        <v>d</v>
      </c>
      <c r="P6" s="7" t="str">
        <f t="shared" si="38"/>
        <v>l</v>
      </c>
      <c r="Q6" s="7" t="str">
        <f t="shared" si="38"/>
        <v>m</v>
      </c>
      <c r="R6" s="7" t="str">
        <f t="shared" si="38"/>
        <v>m</v>
      </c>
      <c r="S6" s="7" t="str">
        <f t="shared" si="38"/>
        <v>j</v>
      </c>
      <c r="T6" s="7" t="str">
        <f t="shared" si="38"/>
        <v>v</v>
      </c>
      <c r="U6" s="7" t="str">
        <f t="shared" si="38"/>
        <v>s</v>
      </c>
      <c r="V6" s="7" t="str">
        <f t="shared" si="38"/>
        <v>d</v>
      </c>
      <c r="W6" s="7" t="str">
        <f t="shared" si="38"/>
        <v>l</v>
      </c>
      <c r="X6" s="7" t="str">
        <f t="shared" si="38"/>
        <v>m</v>
      </c>
      <c r="Y6" s="7" t="str">
        <f t="shared" si="38"/>
        <v>m</v>
      </c>
      <c r="Z6" s="7" t="str">
        <f t="shared" si="38"/>
        <v>j</v>
      </c>
      <c r="AA6" s="7" t="str">
        <f t="shared" si="38"/>
        <v>v</v>
      </c>
      <c r="AB6" s="7" t="str">
        <f t="shared" si="38"/>
        <v>s</v>
      </c>
      <c r="AC6" s="7" t="str">
        <f t="shared" si="38"/>
        <v>d</v>
      </c>
      <c r="AD6" s="7" t="str">
        <f t="shared" si="38"/>
        <v>l</v>
      </c>
      <c r="AE6" s="7" t="str">
        <f t="shared" si="38"/>
        <v>m</v>
      </c>
      <c r="AF6" s="7" t="str">
        <f t="shared" si="38"/>
        <v>m</v>
      </c>
      <c r="AG6" s="7" t="str">
        <f t="shared" si="38"/>
        <v>j</v>
      </c>
      <c r="AH6" s="7" t="str">
        <f t="shared" si="38"/>
        <v>v</v>
      </c>
      <c r="AI6" s="7" t="str">
        <f t="shared" si="38"/>
        <v>s</v>
      </c>
      <c r="AJ6" s="7" t="str">
        <f t="shared" si="38"/>
        <v>d</v>
      </c>
      <c r="AK6" s="7" t="str">
        <f t="shared" si="38"/>
        <v>l</v>
      </c>
      <c r="AL6" s="7" t="str">
        <f t="shared" si="38"/>
        <v>m</v>
      </c>
      <c r="AM6" s="7" t="str">
        <f t="shared" si="38"/>
        <v>m</v>
      </c>
      <c r="AN6" s="7" t="str">
        <f t="shared" si="38"/>
        <v>j</v>
      </c>
      <c r="AO6" s="7" t="str">
        <f t="shared" si="38"/>
        <v>v</v>
      </c>
      <c r="AP6" s="7" t="str">
        <f t="shared" si="38"/>
        <v>s</v>
      </c>
      <c r="AQ6" s="7" t="str">
        <f t="shared" si="38"/>
        <v>d</v>
      </c>
      <c r="AR6" s="7" t="str">
        <f t="shared" si="38"/>
        <v>l</v>
      </c>
      <c r="AS6" s="7" t="str">
        <f t="shared" si="38"/>
        <v>m</v>
      </c>
      <c r="AT6" s="7" t="str">
        <f t="shared" si="38"/>
        <v>m</v>
      </c>
      <c r="AU6" s="7" t="str">
        <f t="shared" si="38"/>
        <v>j</v>
      </c>
      <c r="AV6" s="7" t="str">
        <f t="shared" si="38"/>
        <v>v</v>
      </c>
      <c r="AW6" s="7" t="str">
        <f t="shared" si="38"/>
        <v>s</v>
      </c>
      <c r="AX6" s="7" t="str">
        <f t="shared" si="38"/>
        <v>d</v>
      </c>
      <c r="AY6" s="7" t="str">
        <f t="shared" si="38"/>
        <v>l</v>
      </c>
      <c r="AZ6" s="7" t="str">
        <f t="shared" si="38"/>
        <v>m</v>
      </c>
      <c r="BA6" s="7" t="str">
        <f t="shared" si="38"/>
        <v>m</v>
      </c>
      <c r="BB6" s="7" t="str">
        <f t="shared" si="38"/>
        <v>j</v>
      </c>
      <c r="BC6" s="7" t="str">
        <f t="shared" si="38"/>
        <v>v</v>
      </c>
      <c r="BD6" s="7" t="str">
        <f t="shared" si="38"/>
        <v>s</v>
      </c>
      <c r="BE6" s="7" t="str">
        <f t="shared" si="38"/>
        <v>d</v>
      </c>
      <c r="BF6" s="7" t="str">
        <f t="shared" si="38"/>
        <v>l</v>
      </c>
      <c r="BG6" s="7" t="str">
        <f t="shared" si="38"/>
        <v>m</v>
      </c>
      <c r="BH6" s="7" t="str">
        <f t="shared" si="38"/>
        <v>m</v>
      </c>
      <c r="BI6" s="7" t="str">
        <f t="shared" si="38"/>
        <v>j</v>
      </c>
      <c r="BJ6" s="7" t="str">
        <f t="shared" si="38"/>
        <v>v</v>
      </c>
      <c r="BK6" s="7" t="str">
        <f t="shared" si="38"/>
        <v>s</v>
      </c>
      <c r="BL6" s="7" t="str">
        <f t="shared" si="38"/>
        <v>d</v>
      </c>
      <c r="BM6" s="7" t="str">
        <f t="shared" si="38"/>
        <v>l</v>
      </c>
      <c r="BN6" s="7" t="str">
        <f t="shared" si="38"/>
        <v>m</v>
      </c>
      <c r="BO6" s="7" t="str">
        <f t="shared" si="38"/>
        <v>m</v>
      </c>
      <c r="BP6" s="7" t="str">
        <f t="shared" si="38"/>
        <v>j</v>
      </c>
      <c r="BQ6" s="7" t="str">
        <f t="shared" si="38"/>
        <v>v</v>
      </c>
      <c r="BR6" s="7" t="str">
        <f t="shared" si="38"/>
        <v>s</v>
      </c>
      <c r="BS6" s="7" t="str">
        <f t="shared" si="38"/>
        <v>d</v>
      </c>
      <c r="BT6" s="7" t="str">
        <f t="shared" si="38"/>
        <v>l</v>
      </c>
      <c r="BU6" s="7" t="str">
        <f t="shared" ref="BU6:CN6" si="39">LEFT(TEXT(BU5,"ddd"),1)</f>
        <v>m</v>
      </c>
      <c r="BV6" s="7" t="str">
        <f t="shared" si="39"/>
        <v>m</v>
      </c>
      <c r="BW6" s="7" t="str">
        <f t="shared" si="39"/>
        <v>j</v>
      </c>
      <c r="BX6" s="7" t="str">
        <f t="shared" si="39"/>
        <v>v</v>
      </c>
      <c r="BY6" s="7" t="str">
        <f t="shared" si="39"/>
        <v>s</v>
      </c>
      <c r="BZ6" s="7" t="str">
        <f t="shared" si="39"/>
        <v>d</v>
      </c>
      <c r="CA6" s="7" t="str">
        <f t="shared" si="39"/>
        <v>l</v>
      </c>
      <c r="CB6" s="7" t="str">
        <f t="shared" si="39"/>
        <v>m</v>
      </c>
      <c r="CC6" s="7" t="str">
        <f t="shared" si="39"/>
        <v>m</v>
      </c>
      <c r="CD6" s="7" t="str">
        <f t="shared" si="39"/>
        <v>j</v>
      </c>
      <c r="CE6" s="7" t="str">
        <f t="shared" si="39"/>
        <v>v</v>
      </c>
      <c r="CF6" s="7" t="str">
        <f t="shared" si="39"/>
        <v>s</v>
      </c>
      <c r="CG6" s="7" t="str">
        <f t="shared" si="39"/>
        <v>d</v>
      </c>
      <c r="CH6" s="7" t="str">
        <f t="shared" si="39"/>
        <v>l</v>
      </c>
      <c r="CI6" s="7" t="str">
        <f t="shared" si="39"/>
        <v>m</v>
      </c>
      <c r="CJ6" s="7" t="str">
        <f t="shared" si="39"/>
        <v>m</v>
      </c>
      <c r="CK6" s="7" t="str">
        <f t="shared" si="39"/>
        <v>j</v>
      </c>
      <c r="CL6" s="7" t="str">
        <f t="shared" si="39"/>
        <v>v</v>
      </c>
      <c r="CM6" s="7" t="str">
        <f t="shared" si="39"/>
        <v>s</v>
      </c>
      <c r="CN6" s="7" t="str">
        <f t="shared" si="39"/>
        <v>d</v>
      </c>
      <c r="CO6" s="7" t="str">
        <f t="shared" ref="CO6:DB6" si="40">LEFT(TEXT(CO5,"ddd"),1)</f>
        <v>l</v>
      </c>
      <c r="CP6" s="7" t="str">
        <f t="shared" si="40"/>
        <v>m</v>
      </c>
      <c r="CQ6" s="7" t="str">
        <f t="shared" si="40"/>
        <v>m</v>
      </c>
      <c r="CR6" s="7" t="str">
        <f t="shared" si="40"/>
        <v>j</v>
      </c>
      <c r="CS6" s="7" t="str">
        <f t="shared" si="40"/>
        <v>v</v>
      </c>
      <c r="CT6" s="7" t="str">
        <f t="shared" si="40"/>
        <v>s</v>
      </c>
      <c r="CU6" s="7" t="str">
        <f t="shared" si="40"/>
        <v>d</v>
      </c>
      <c r="CV6" s="7" t="str">
        <f t="shared" si="40"/>
        <v>l</v>
      </c>
      <c r="CW6" s="7" t="str">
        <f t="shared" si="40"/>
        <v>m</v>
      </c>
      <c r="CX6" s="7" t="str">
        <f t="shared" si="40"/>
        <v>m</v>
      </c>
      <c r="CY6" s="7" t="str">
        <f t="shared" si="40"/>
        <v>j</v>
      </c>
      <c r="CZ6" s="7" t="str">
        <f t="shared" si="40"/>
        <v>v</v>
      </c>
      <c r="DA6" s="7" t="str">
        <f t="shared" si="40"/>
        <v>s</v>
      </c>
      <c r="DB6" s="7" t="str">
        <f t="shared" si="40"/>
        <v>d</v>
      </c>
      <c r="DC6" s="7" t="str">
        <f t="shared" ref="DC6:DI6" si="41">LEFT(TEXT(DC5,"ddd"),1)</f>
        <v>l</v>
      </c>
      <c r="DD6" s="7" t="str">
        <f t="shared" si="41"/>
        <v>m</v>
      </c>
      <c r="DE6" s="7" t="str">
        <f t="shared" si="41"/>
        <v>m</v>
      </c>
      <c r="DF6" s="7" t="str">
        <f t="shared" si="41"/>
        <v>j</v>
      </c>
      <c r="DG6" s="7" t="str">
        <f t="shared" si="41"/>
        <v>v</v>
      </c>
      <c r="DH6" s="7" t="str">
        <f t="shared" si="41"/>
        <v>s</v>
      </c>
      <c r="DI6" s="7" t="str">
        <f t="shared" si="41"/>
        <v>d</v>
      </c>
      <c r="DJ6" s="7" t="str">
        <f t="shared" ref="DJ6:DP6" si="42">LEFT(TEXT(DJ5,"ddd"),1)</f>
        <v>l</v>
      </c>
      <c r="DK6" s="7" t="str">
        <f t="shared" si="42"/>
        <v>m</v>
      </c>
      <c r="DL6" s="7" t="str">
        <f t="shared" si="42"/>
        <v>m</v>
      </c>
      <c r="DM6" s="7" t="str">
        <f t="shared" si="42"/>
        <v>j</v>
      </c>
      <c r="DN6" s="7" t="str">
        <f t="shared" si="42"/>
        <v>v</v>
      </c>
      <c r="DO6" s="7" t="str">
        <f t="shared" si="42"/>
        <v>s</v>
      </c>
      <c r="DP6" s="7" t="str">
        <f t="shared" si="42"/>
        <v>d</v>
      </c>
      <c r="DQ6" s="7" t="str">
        <f t="shared" ref="DQ6:DW6" si="43">LEFT(TEXT(DQ5,"ddd"),1)</f>
        <v>l</v>
      </c>
      <c r="DR6" s="7" t="str">
        <f t="shared" si="43"/>
        <v>m</v>
      </c>
      <c r="DS6" s="7" t="str">
        <f t="shared" si="43"/>
        <v>m</v>
      </c>
      <c r="DT6" s="7" t="str">
        <f t="shared" si="43"/>
        <v>j</v>
      </c>
      <c r="DU6" s="7" t="str">
        <f t="shared" si="43"/>
        <v>v</v>
      </c>
      <c r="DV6" s="7" t="str">
        <f t="shared" si="43"/>
        <v>s</v>
      </c>
      <c r="DW6" s="7" t="str">
        <f t="shared" si="43"/>
        <v>d</v>
      </c>
    </row>
    <row r="7" spans="1:127" ht="30" hidden="1" customHeight="1" x14ac:dyDescent="0.35">
      <c r="A7" s="33" t="s">
        <v>29</v>
      </c>
      <c r="C7" s="35"/>
      <c r="E7"/>
      <c r="H7" t="str">
        <f>IF(OR(ISBLANK(task_start),ISBLANK(task_end)),"",task_end-task_start+1)</f>
        <v/>
      </c>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row>
    <row r="8" spans="1:127" s="2" customFormat="1" ht="30" customHeight="1" thickBot="1" x14ac:dyDescent="0.4">
      <c r="A8" s="34" t="s">
        <v>30</v>
      </c>
      <c r="B8" s="9" t="s">
        <v>62</v>
      </c>
      <c r="C8" s="38"/>
      <c r="D8" s="10"/>
      <c r="E8" s="56"/>
      <c r="F8" s="57"/>
      <c r="G8" s="8"/>
      <c r="H8" s="8" t="str">
        <f t="shared" ref="H8:H52" si="44">IF(OR(ISBLANK(task_start),ISBLANK(task_end)),"",task_end-task_start+1)</f>
        <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row>
    <row r="9" spans="1:127" s="2" customFormat="1" ht="30" customHeight="1" thickBot="1" x14ac:dyDescent="0.4">
      <c r="A9" s="34" t="s">
        <v>31</v>
      </c>
      <c r="B9" s="46" t="s">
        <v>97</v>
      </c>
      <c r="C9" s="39" t="s">
        <v>35</v>
      </c>
      <c r="D9" s="11"/>
      <c r="E9" s="58">
        <f>Inicio_del_proyecto</f>
        <v>46146</v>
      </c>
      <c r="F9" s="58">
        <v>46150</v>
      </c>
      <c r="G9" s="8"/>
      <c r="H9" s="8">
        <f t="shared" si="44"/>
        <v>5</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row>
    <row r="10" spans="1:127" s="2" customFormat="1" ht="30" customHeight="1" thickBot="1" x14ac:dyDescent="0.4">
      <c r="A10" s="34" t="s">
        <v>33</v>
      </c>
      <c r="B10" s="46" t="s">
        <v>91</v>
      </c>
      <c r="C10" s="39" t="s">
        <v>36</v>
      </c>
      <c r="D10" s="11"/>
      <c r="E10" s="58">
        <v>46146</v>
      </c>
      <c r="F10" s="58">
        <v>46150</v>
      </c>
      <c r="G10" s="8"/>
      <c r="H10" s="8">
        <f t="shared" si="44"/>
        <v>5</v>
      </c>
      <c r="I10" s="21"/>
      <c r="J10" s="21"/>
      <c r="K10" s="21"/>
      <c r="L10" s="21"/>
      <c r="M10" s="21"/>
      <c r="N10" s="21"/>
      <c r="O10" s="21"/>
      <c r="P10" s="21"/>
      <c r="Q10" s="21"/>
      <c r="R10" s="21"/>
      <c r="S10" s="21"/>
      <c r="T10" s="21"/>
      <c r="U10" s="22"/>
      <c r="V10" s="22"/>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c r="DV10" s="21"/>
      <c r="DW10" s="21"/>
    </row>
    <row r="11" spans="1:127" s="2" customFormat="1" ht="30" customHeight="1" thickBot="1" x14ac:dyDescent="0.4">
      <c r="A11" s="33"/>
      <c r="B11" s="46" t="s">
        <v>57</v>
      </c>
      <c r="C11" s="39" t="s">
        <v>34</v>
      </c>
      <c r="D11" s="11"/>
      <c r="E11" s="58">
        <v>46146</v>
      </c>
      <c r="F11" s="58">
        <v>46151</v>
      </c>
      <c r="G11" s="8"/>
      <c r="H11" s="8">
        <f t="shared" si="44"/>
        <v>6</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row>
    <row r="12" spans="1:127" s="2" customFormat="1" ht="30" customHeight="1" thickBot="1" x14ac:dyDescent="0.4">
      <c r="A12" s="33"/>
      <c r="B12" s="46" t="s">
        <v>58</v>
      </c>
      <c r="C12" s="39" t="s">
        <v>36</v>
      </c>
      <c r="D12" s="11"/>
      <c r="E12" s="58">
        <v>46146</v>
      </c>
      <c r="F12" s="58">
        <v>46151</v>
      </c>
      <c r="G12" s="8"/>
      <c r="H12" s="8">
        <f t="shared" si="44"/>
        <v>6</v>
      </c>
      <c r="I12" s="21"/>
      <c r="J12" s="21"/>
      <c r="K12" s="21"/>
      <c r="L12" s="21"/>
      <c r="M12" s="21"/>
      <c r="N12" s="21"/>
      <c r="O12" s="21"/>
      <c r="P12" s="21"/>
      <c r="Q12" s="21"/>
      <c r="R12" s="21"/>
      <c r="S12" s="21"/>
      <c r="T12" s="21"/>
      <c r="U12" s="21"/>
      <c r="V12" s="21"/>
      <c r="W12" s="21"/>
      <c r="X12" s="21"/>
      <c r="Y12" s="22"/>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row>
    <row r="13" spans="1:127" s="2" customFormat="1" ht="30" customHeight="1" thickBot="1" x14ac:dyDescent="0.4">
      <c r="A13" s="33"/>
      <c r="B13" s="46" t="s">
        <v>59</v>
      </c>
      <c r="C13" s="90" t="s">
        <v>32</v>
      </c>
      <c r="D13" s="11"/>
      <c r="E13" s="58">
        <v>46146</v>
      </c>
      <c r="F13" s="58">
        <v>46150</v>
      </c>
      <c r="G13" s="8"/>
      <c r="H13" s="8"/>
      <c r="I13" s="21"/>
      <c r="J13" s="21"/>
      <c r="K13" s="21"/>
      <c r="L13" s="21"/>
      <c r="M13" s="21"/>
      <c r="N13" s="21"/>
      <c r="O13" s="21"/>
      <c r="P13" s="21"/>
      <c r="Q13" s="21"/>
      <c r="R13" s="21"/>
      <c r="S13" s="21"/>
      <c r="T13" s="21"/>
      <c r="U13" s="21"/>
      <c r="V13" s="21"/>
      <c r="W13" s="21"/>
      <c r="X13" s="21"/>
      <c r="Y13" s="22"/>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row>
    <row r="14" spans="1:127" s="2" customFormat="1" ht="30" customHeight="1" thickBot="1" x14ac:dyDescent="0.4">
      <c r="A14" s="33"/>
      <c r="B14" s="46" t="s">
        <v>60</v>
      </c>
      <c r="C14" s="90" t="s">
        <v>39</v>
      </c>
      <c r="D14" s="11"/>
      <c r="E14" s="58">
        <v>46146</v>
      </c>
      <c r="F14" s="58">
        <v>46150</v>
      </c>
      <c r="G14" s="8"/>
      <c r="H14" s="8">
        <f t="shared" si="44"/>
        <v>5</v>
      </c>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row>
    <row r="15" spans="1:127" s="2" customFormat="1" ht="30" customHeight="1" thickBot="1" x14ac:dyDescent="0.4">
      <c r="A15" s="33"/>
      <c r="B15" s="46" t="s">
        <v>98</v>
      </c>
      <c r="C15" s="90" t="s">
        <v>39</v>
      </c>
      <c r="D15" s="11"/>
      <c r="E15" s="58">
        <v>46154</v>
      </c>
      <c r="F15" s="58">
        <v>46158</v>
      </c>
      <c r="G15" s="8"/>
      <c r="H15" s="8"/>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row>
    <row r="16" spans="1:127" s="2" customFormat="1" ht="30" customHeight="1" thickBot="1" x14ac:dyDescent="0.4">
      <c r="A16" s="33"/>
      <c r="B16" s="46" t="s">
        <v>99</v>
      </c>
      <c r="C16" s="90" t="s">
        <v>36</v>
      </c>
      <c r="D16" s="11"/>
      <c r="E16" s="58">
        <v>46154</v>
      </c>
      <c r="F16" s="58">
        <v>46158</v>
      </c>
      <c r="G16" s="8"/>
      <c r="H16" s="8"/>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c r="DV16" s="21"/>
      <c r="DW16" s="21"/>
    </row>
    <row r="17" spans="1:127" s="2" customFormat="1" ht="30" customHeight="1" thickBot="1" x14ac:dyDescent="0.4">
      <c r="A17" s="33"/>
      <c r="B17" s="46" t="s">
        <v>61</v>
      </c>
      <c r="C17" s="90" t="s">
        <v>39</v>
      </c>
      <c r="D17" s="11"/>
      <c r="E17" s="58">
        <v>46149</v>
      </c>
      <c r="F17" s="58">
        <v>46156</v>
      </c>
      <c r="G17" s="8"/>
      <c r="H17" s="8"/>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row>
    <row r="18" spans="1:127" s="2" customFormat="1" ht="30" customHeight="1" thickBot="1" x14ac:dyDescent="0.4">
      <c r="A18" s="33"/>
      <c r="B18" s="46" t="s">
        <v>100</v>
      </c>
      <c r="C18" s="90" t="s">
        <v>39</v>
      </c>
      <c r="D18" s="11"/>
      <c r="E18" s="58">
        <v>46153</v>
      </c>
      <c r="F18" s="58">
        <v>46158</v>
      </c>
      <c r="G18" s="8"/>
      <c r="H18" s="8"/>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c r="DV18" s="21"/>
      <c r="DW18" s="21"/>
    </row>
    <row r="19" spans="1:127" s="2" customFormat="1" ht="30" customHeight="1" thickBot="1" x14ac:dyDescent="0.4">
      <c r="A19" s="34" t="s">
        <v>37</v>
      </c>
      <c r="B19" s="12" t="s">
        <v>63</v>
      </c>
      <c r="C19" s="40"/>
      <c r="D19" s="13"/>
      <c r="E19" s="59"/>
      <c r="F19" s="60"/>
      <c r="G19" s="8"/>
      <c r="H19" s="8" t="str">
        <f t="shared" si="44"/>
        <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c r="DV19" s="21"/>
      <c r="DW19" s="21"/>
    </row>
    <row r="20" spans="1:127" s="2" customFormat="1" ht="30" customHeight="1" thickBot="1" x14ac:dyDescent="0.4">
      <c r="A20" s="34"/>
      <c r="B20" s="47" t="s">
        <v>64</v>
      </c>
      <c r="C20" s="41" t="s">
        <v>32</v>
      </c>
      <c r="D20" s="14"/>
      <c r="E20" s="61">
        <v>46161</v>
      </c>
      <c r="F20" s="61">
        <v>46163</v>
      </c>
      <c r="G20" s="8"/>
      <c r="H20" s="8">
        <f t="shared" si="44"/>
        <v>3</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row>
    <row r="21" spans="1:127" s="2" customFormat="1" ht="30" customHeight="1" thickBot="1" x14ac:dyDescent="0.4">
      <c r="A21" s="33"/>
      <c r="B21" s="47" t="s">
        <v>65</v>
      </c>
      <c r="C21" s="41" t="s">
        <v>36</v>
      </c>
      <c r="D21" s="14"/>
      <c r="E21" s="61">
        <v>46161</v>
      </c>
      <c r="F21" s="61">
        <v>46170</v>
      </c>
      <c r="G21" s="8"/>
      <c r="H21" s="8">
        <f t="shared" si="44"/>
        <v>10</v>
      </c>
      <c r="I21" s="21"/>
      <c r="J21" s="21"/>
      <c r="K21" s="21"/>
      <c r="L21" s="21"/>
      <c r="M21" s="21"/>
      <c r="N21" s="21"/>
      <c r="O21" s="21"/>
      <c r="P21" s="21"/>
      <c r="Q21" s="21"/>
      <c r="R21" s="21"/>
      <c r="S21" s="21"/>
      <c r="T21" s="21"/>
      <c r="U21" s="22"/>
      <c r="V21" s="22"/>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c r="DV21" s="21"/>
      <c r="DW21" s="21"/>
    </row>
    <row r="22" spans="1:127" s="2" customFormat="1" ht="30" customHeight="1" thickBot="1" x14ac:dyDescent="0.4">
      <c r="A22" s="33"/>
      <c r="B22" s="47" t="s">
        <v>101</v>
      </c>
      <c r="C22" s="93" t="s">
        <v>92</v>
      </c>
      <c r="D22" s="14"/>
      <c r="E22" s="61">
        <v>46161</v>
      </c>
      <c r="F22" s="61">
        <v>46170</v>
      </c>
      <c r="G22" s="8"/>
      <c r="H22" s="8">
        <f t="shared" si="44"/>
        <v>10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21"/>
      <c r="DT22" s="21"/>
      <c r="DU22" s="21"/>
      <c r="DV22" s="21"/>
      <c r="DW22" s="21"/>
    </row>
    <row r="23" spans="1:127" s="2" customFormat="1" ht="30" customHeight="1" thickBot="1" x14ac:dyDescent="0.4">
      <c r="A23" s="33"/>
      <c r="B23" s="47" t="s">
        <v>102</v>
      </c>
      <c r="C23" s="93"/>
      <c r="D23" s="14"/>
      <c r="E23" s="61">
        <v>46161</v>
      </c>
      <c r="F23" s="61">
        <v>46165</v>
      </c>
      <c r="G23" s="8"/>
      <c r="H23" s="8"/>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c r="DQ23" s="21"/>
      <c r="DR23" s="21"/>
      <c r="DS23" s="21"/>
      <c r="DT23" s="21"/>
      <c r="DU23" s="21"/>
      <c r="DV23" s="21"/>
      <c r="DW23" s="21"/>
    </row>
    <row r="24" spans="1:127" s="2" customFormat="1" ht="30" customHeight="1" thickBot="1" x14ac:dyDescent="0.4">
      <c r="A24" s="33"/>
      <c r="B24" s="47" t="s">
        <v>103</v>
      </c>
      <c r="C24" s="93"/>
      <c r="D24" s="14"/>
      <c r="E24" s="61">
        <v>46168</v>
      </c>
      <c r="F24" s="61">
        <v>46172</v>
      </c>
      <c r="G24" s="8"/>
      <c r="H24" s="8"/>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row>
    <row r="25" spans="1:127" s="2" customFormat="1" ht="30" customHeight="1" thickBot="1" x14ac:dyDescent="0.4">
      <c r="A25" s="33"/>
      <c r="B25" s="47" t="s">
        <v>104</v>
      </c>
      <c r="C25" s="93"/>
      <c r="D25" s="14"/>
      <c r="E25" s="61">
        <v>46168</v>
      </c>
      <c r="F25" s="61">
        <v>46172</v>
      </c>
      <c r="G25" s="8"/>
      <c r="H25" s="8"/>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21"/>
      <c r="DT25" s="21"/>
      <c r="DU25" s="21"/>
      <c r="DV25" s="21"/>
      <c r="DW25" s="21"/>
    </row>
    <row r="26" spans="1:127" s="2" customFormat="1" ht="30" customHeight="1" thickBot="1" x14ac:dyDescent="0.4">
      <c r="A26" s="33"/>
      <c r="B26" s="47" t="s">
        <v>67</v>
      </c>
      <c r="C26" s="91" t="s">
        <v>36</v>
      </c>
      <c r="D26" s="14"/>
      <c r="E26" s="61">
        <v>46161</v>
      </c>
      <c r="F26" s="61">
        <v>46170</v>
      </c>
      <c r="G26" s="8"/>
      <c r="H26" s="8">
        <f t="shared" si="44"/>
        <v>10</v>
      </c>
      <c r="I26" s="21"/>
      <c r="J26" s="21"/>
      <c r="K26" s="21"/>
      <c r="L26" s="21"/>
      <c r="M26" s="21"/>
      <c r="N26" s="21"/>
      <c r="O26" s="21"/>
      <c r="P26" s="21"/>
      <c r="Q26" s="21"/>
      <c r="R26" s="21"/>
      <c r="S26" s="21"/>
      <c r="T26" s="21"/>
      <c r="U26" s="21"/>
      <c r="V26" s="21"/>
      <c r="W26" s="21"/>
      <c r="X26" s="21"/>
      <c r="Y26" s="22"/>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c r="DV26" s="21"/>
      <c r="DW26" s="21"/>
    </row>
    <row r="27" spans="1:127" s="2" customFormat="1" ht="30" customHeight="1" thickBot="1" x14ac:dyDescent="0.4">
      <c r="A27" s="33"/>
      <c r="B27" s="47" t="s">
        <v>105</v>
      </c>
      <c r="C27" s="91"/>
      <c r="D27" s="14"/>
      <c r="E27" s="61">
        <v>46161</v>
      </c>
      <c r="F27" s="61">
        <v>46170</v>
      </c>
      <c r="G27" s="8"/>
      <c r="H27" s="8"/>
      <c r="I27" s="21"/>
      <c r="J27" s="21"/>
      <c r="K27" s="21"/>
      <c r="L27" s="21"/>
      <c r="M27" s="21"/>
      <c r="N27" s="21"/>
      <c r="O27" s="21"/>
      <c r="P27" s="21"/>
      <c r="Q27" s="21"/>
      <c r="R27" s="21"/>
      <c r="S27" s="21"/>
      <c r="T27" s="21"/>
      <c r="U27" s="21"/>
      <c r="V27" s="21"/>
      <c r="W27" s="21"/>
      <c r="X27" s="21"/>
      <c r="Y27" s="22"/>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c r="DQ27" s="21"/>
      <c r="DR27" s="21"/>
      <c r="DS27" s="21"/>
      <c r="DT27" s="21"/>
      <c r="DU27" s="21"/>
      <c r="DV27" s="21"/>
      <c r="DW27" s="21"/>
    </row>
    <row r="28" spans="1:127" s="2" customFormat="1" ht="30" customHeight="1" thickBot="1" x14ac:dyDescent="0.4">
      <c r="A28" s="33"/>
      <c r="B28" s="47" t="s">
        <v>61</v>
      </c>
      <c r="C28" s="91" t="s">
        <v>39</v>
      </c>
      <c r="D28" s="14"/>
      <c r="E28" s="61">
        <v>46163</v>
      </c>
      <c r="F28" s="61">
        <v>46170</v>
      </c>
      <c r="G28" s="8"/>
      <c r="H28" s="8">
        <f t="shared" si="44"/>
        <v>8</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row>
    <row r="29" spans="1:127" s="2" customFormat="1" ht="30" customHeight="1" thickBot="1" x14ac:dyDescent="0.4">
      <c r="A29" s="33"/>
      <c r="B29" s="47" t="s">
        <v>106</v>
      </c>
      <c r="C29" s="91"/>
      <c r="D29" s="14"/>
      <c r="E29" s="61">
        <v>46160</v>
      </c>
      <c r="F29" s="61">
        <v>46165</v>
      </c>
      <c r="G29" s="8"/>
      <c r="H29" s="8"/>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1"/>
      <c r="DV29" s="21"/>
      <c r="DW29" s="21"/>
    </row>
    <row r="30" spans="1:127" s="2" customFormat="1" ht="30" customHeight="1" thickBot="1" x14ac:dyDescent="0.4">
      <c r="A30" s="33"/>
      <c r="B30" s="47" t="s">
        <v>107</v>
      </c>
      <c r="C30" s="91"/>
      <c r="D30" s="14"/>
      <c r="E30" s="61">
        <v>46167</v>
      </c>
      <c r="F30" s="61">
        <v>46171</v>
      </c>
      <c r="G30" s="8"/>
      <c r="H30" s="8"/>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c r="DQ30" s="21"/>
      <c r="DR30" s="21"/>
      <c r="DS30" s="21"/>
      <c r="DT30" s="21"/>
      <c r="DU30" s="21"/>
      <c r="DV30" s="21"/>
      <c r="DW30" s="21"/>
    </row>
    <row r="31" spans="1:127" s="2" customFormat="1" ht="30" customHeight="1" thickBot="1" x14ac:dyDescent="0.4">
      <c r="A31" s="33" t="s">
        <v>38</v>
      </c>
      <c r="B31" s="15" t="s">
        <v>127</v>
      </c>
      <c r="C31" s="42"/>
      <c r="D31" s="16"/>
      <c r="E31" s="62"/>
      <c r="F31" s="63"/>
      <c r="G31" s="8"/>
      <c r="H31" s="8" t="str">
        <f t="shared" si="44"/>
        <v/>
      </c>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1"/>
      <c r="DA31" s="21"/>
      <c r="DB31" s="21"/>
      <c r="DC31" s="21"/>
      <c r="DD31" s="21"/>
      <c r="DE31" s="21"/>
      <c r="DF31" s="21"/>
      <c r="DG31" s="21"/>
      <c r="DH31" s="21"/>
      <c r="DI31" s="21"/>
      <c r="DJ31" s="21"/>
      <c r="DK31" s="21"/>
      <c r="DL31" s="21"/>
      <c r="DM31" s="21"/>
      <c r="DN31" s="21"/>
      <c r="DO31" s="21"/>
      <c r="DP31" s="21"/>
      <c r="DQ31" s="21"/>
      <c r="DR31" s="21"/>
      <c r="DS31" s="21"/>
      <c r="DT31" s="21"/>
      <c r="DU31" s="21"/>
      <c r="DV31" s="21"/>
      <c r="DW31" s="21"/>
    </row>
    <row r="32" spans="1:127" s="2" customFormat="1" ht="30" customHeight="1" thickBot="1" x14ac:dyDescent="0.4">
      <c r="A32" s="33"/>
      <c r="B32" s="68" t="s">
        <v>108</v>
      </c>
      <c r="C32" s="43" t="s">
        <v>32</v>
      </c>
      <c r="D32" s="17"/>
      <c r="E32" s="64">
        <v>46175</v>
      </c>
      <c r="F32" s="64">
        <v>46179</v>
      </c>
      <c r="G32" s="8"/>
      <c r="H32" s="8">
        <f t="shared" si="44"/>
        <v>5</v>
      </c>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c r="CZ32" s="21"/>
      <c r="DA32" s="21"/>
      <c r="DB32" s="21"/>
      <c r="DC32" s="21"/>
      <c r="DD32" s="21"/>
      <c r="DE32" s="21"/>
      <c r="DF32" s="21"/>
      <c r="DG32" s="21"/>
      <c r="DH32" s="21"/>
      <c r="DI32" s="21"/>
      <c r="DJ32" s="21"/>
      <c r="DK32" s="21"/>
      <c r="DL32" s="21"/>
      <c r="DM32" s="21"/>
      <c r="DN32" s="21"/>
      <c r="DO32" s="21"/>
      <c r="DP32" s="21"/>
      <c r="DQ32" s="21"/>
      <c r="DR32" s="21"/>
      <c r="DS32" s="21"/>
      <c r="DT32" s="21"/>
      <c r="DU32" s="21"/>
      <c r="DV32" s="21"/>
      <c r="DW32" s="21"/>
    </row>
    <row r="33" spans="1:127" s="2" customFormat="1" ht="30" customHeight="1" thickBot="1" x14ac:dyDescent="0.4">
      <c r="A33" s="33"/>
      <c r="B33" s="48" t="s">
        <v>109</v>
      </c>
      <c r="C33" s="43" t="s">
        <v>32</v>
      </c>
      <c r="D33" s="17"/>
      <c r="E33" s="64">
        <v>46175</v>
      </c>
      <c r="F33" s="64">
        <v>46186</v>
      </c>
      <c r="G33" s="8"/>
      <c r="H33" s="8">
        <f t="shared" si="44"/>
        <v>12</v>
      </c>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c r="DB33" s="21"/>
      <c r="DC33" s="21"/>
      <c r="DD33" s="21"/>
      <c r="DE33" s="21"/>
      <c r="DF33" s="21"/>
      <c r="DG33" s="21"/>
      <c r="DH33" s="21"/>
      <c r="DI33" s="21"/>
      <c r="DJ33" s="21"/>
      <c r="DK33" s="21"/>
      <c r="DL33" s="21"/>
      <c r="DM33" s="21"/>
      <c r="DN33" s="21"/>
      <c r="DO33" s="21"/>
      <c r="DP33" s="21"/>
      <c r="DQ33" s="21"/>
      <c r="DR33" s="21"/>
      <c r="DS33" s="21"/>
      <c r="DT33" s="21"/>
      <c r="DU33" s="21"/>
      <c r="DV33" s="21"/>
      <c r="DW33" s="21"/>
    </row>
    <row r="34" spans="1:127" s="2" customFormat="1" ht="30" customHeight="1" thickBot="1" x14ac:dyDescent="0.4">
      <c r="A34" s="33"/>
      <c r="B34" s="48" t="s">
        <v>110</v>
      </c>
      <c r="C34" s="43" t="s">
        <v>35</v>
      </c>
      <c r="D34" s="17"/>
      <c r="E34" s="64">
        <v>46175</v>
      </c>
      <c r="F34" s="64">
        <v>46186</v>
      </c>
      <c r="G34" s="8"/>
      <c r="H34" s="8">
        <f t="shared" si="44"/>
        <v>12</v>
      </c>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c r="CM34" s="21"/>
      <c r="CN34" s="21"/>
      <c r="CO34" s="21"/>
      <c r="CP34" s="21"/>
      <c r="CQ34" s="21"/>
      <c r="CR34" s="21"/>
      <c r="CS34" s="21"/>
      <c r="CT34" s="21"/>
      <c r="CU34" s="21"/>
      <c r="CV34" s="21"/>
      <c r="CW34" s="21"/>
      <c r="CX34" s="21"/>
      <c r="CY34" s="21"/>
      <c r="CZ34" s="21"/>
      <c r="DA34" s="21"/>
      <c r="DB34" s="21"/>
      <c r="DC34" s="21"/>
      <c r="DD34" s="21"/>
      <c r="DE34" s="21"/>
      <c r="DF34" s="21"/>
      <c r="DG34" s="21"/>
      <c r="DH34" s="21"/>
      <c r="DI34" s="21"/>
      <c r="DJ34" s="21"/>
      <c r="DK34" s="21"/>
      <c r="DL34" s="21"/>
      <c r="DM34" s="21"/>
      <c r="DN34" s="21"/>
      <c r="DO34" s="21"/>
      <c r="DP34" s="21"/>
      <c r="DQ34" s="21"/>
      <c r="DR34" s="21"/>
      <c r="DS34" s="21"/>
      <c r="DT34" s="21"/>
      <c r="DU34" s="21"/>
      <c r="DV34" s="21"/>
      <c r="DW34" s="21"/>
    </row>
    <row r="35" spans="1:127" s="2" customFormat="1" ht="30" customHeight="1" thickBot="1" x14ac:dyDescent="0.4">
      <c r="A35" s="33"/>
      <c r="B35" s="48" t="s">
        <v>111</v>
      </c>
      <c r="C35" s="43"/>
      <c r="D35" s="17"/>
      <c r="E35" s="64">
        <v>46182</v>
      </c>
      <c r="F35" s="64">
        <v>46193</v>
      </c>
      <c r="G35" s="8"/>
      <c r="H35" s="8"/>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c r="CU35" s="21"/>
      <c r="CV35" s="21"/>
      <c r="CW35" s="21"/>
      <c r="CX35" s="21"/>
      <c r="CY35" s="21"/>
      <c r="CZ35" s="21"/>
      <c r="DA35" s="21"/>
      <c r="DB35" s="21"/>
      <c r="DC35" s="21"/>
      <c r="DD35" s="21"/>
      <c r="DE35" s="21"/>
      <c r="DF35" s="21"/>
      <c r="DG35" s="21"/>
      <c r="DH35" s="21"/>
      <c r="DI35" s="21"/>
      <c r="DJ35" s="21"/>
      <c r="DK35" s="21"/>
      <c r="DL35" s="21"/>
      <c r="DM35" s="21"/>
      <c r="DN35" s="21"/>
      <c r="DO35" s="21"/>
      <c r="DP35" s="21"/>
      <c r="DQ35" s="21"/>
      <c r="DR35" s="21"/>
      <c r="DS35" s="21"/>
      <c r="DT35" s="21"/>
      <c r="DU35" s="21"/>
      <c r="DV35" s="21"/>
      <c r="DW35" s="21"/>
    </row>
    <row r="36" spans="1:127" s="2" customFormat="1" ht="30" customHeight="1" thickBot="1" x14ac:dyDescent="0.4">
      <c r="A36" s="33"/>
      <c r="B36" s="48" t="s">
        <v>112</v>
      </c>
      <c r="C36" s="43"/>
      <c r="D36" s="17"/>
      <c r="E36" s="64">
        <v>46182</v>
      </c>
      <c r="F36" s="64">
        <v>46193</v>
      </c>
      <c r="G36" s="8"/>
      <c r="H36" s="8"/>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c r="CM36" s="21"/>
      <c r="CN36" s="21"/>
      <c r="CO36" s="21"/>
      <c r="CP36" s="21"/>
      <c r="CQ36" s="21"/>
      <c r="CR36" s="21"/>
      <c r="CS36" s="21"/>
      <c r="CT36" s="21"/>
      <c r="CU36" s="21"/>
      <c r="CV36" s="21"/>
      <c r="CW36" s="21"/>
      <c r="CX36" s="21"/>
      <c r="CY36" s="21"/>
      <c r="CZ36" s="21"/>
      <c r="DA36" s="21"/>
      <c r="DB36" s="21"/>
      <c r="DC36" s="21"/>
      <c r="DD36" s="21"/>
      <c r="DE36" s="21"/>
      <c r="DF36" s="21"/>
      <c r="DG36" s="21"/>
      <c r="DH36" s="21"/>
      <c r="DI36" s="21"/>
      <c r="DJ36" s="21"/>
      <c r="DK36" s="21"/>
      <c r="DL36" s="21"/>
      <c r="DM36" s="21"/>
      <c r="DN36" s="21"/>
      <c r="DO36" s="21"/>
      <c r="DP36" s="21"/>
      <c r="DQ36" s="21"/>
      <c r="DR36" s="21"/>
      <c r="DS36" s="21"/>
      <c r="DT36" s="21"/>
      <c r="DU36" s="21"/>
      <c r="DV36" s="21"/>
      <c r="DW36" s="21"/>
    </row>
    <row r="37" spans="1:127" s="2" customFormat="1" ht="30" customHeight="1" thickBot="1" x14ac:dyDescent="0.4">
      <c r="A37" s="33"/>
      <c r="B37" s="48" t="s">
        <v>113</v>
      </c>
      <c r="C37" s="43"/>
      <c r="D37" s="17"/>
      <c r="E37" s="64">
        <v>46182</v>
      </c>
      <c r="F37" s="64">
        <v>46193</v>
      </c>
      <c r="G37" s="8"/>
      <c r="H37" s="8"/>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c r="CQ37" s="21"/>
      <c r="CR37" s="21"/>
      <c r="CS37" s="21"/>
      <c r="CT37" s="21"/>
      <c r="CU37" s="21"/>
      <c r="CV37" s="21"/>
      <c r="CW37" s="21"/>
      <c r="CX37" s="21"/>
      <c r="CY37" s="21"/>
      <c r="CZ37" s="21"/>
      <c r="DA37" s="21"/>
      <c r="DB37" s="21"/>
      <c r="DC37" s="21"/>
      <c r="DD37" s="21"/>
      <c r="DE37" s="21"/>
      <c r="DF37" s="21"/>
      <c r="DG37" s="21"/>
      <c r="DH37" s="21"/>
      <c r="DI37" s="21"/>
      <c r="DJ37" s="21"/>
      <c r="DK37" s="21"/>
      <c r="DL37" s="21"/>
      <c r="DM37" s="21"/>
      <c r="DN37" s="21"/>
      <c r="DO37" s="21"/>
      <c r="DP37" s="21"/>
      <c r="DQ37" s="21"/>
      <c r="DR37" s="21"/>
      <c r="DS37" s="21"/>
      <c r="DT37" s="21"/>
      <c r="DU37" s="21"/>
      <c r="DV37" s="21"/>
      <c r="DW37" s="21"/>
    </row>
    <row r="38" spans="1:127" s="2" customFormat="1" ht="30" customHeight="1" thickBot="1" x14ac:dyDescent="0.4">
      <c r="A38" s="33"/>
      <c r="B38" s="48" t="s">
        <v>72</v>
      </c>
      <c r="C38" s="94" t="s">
        <v>93</v>
      </c>
      <c r="D38" s="17"/>
      <c r="E38" s="64">
        <v>46175</v>
      </c>
      <c r="F38" s="64">
        <v>46193</v>
      </c>
      <c r="G38" s="8"/>
      <c r="H38" s="8">
        <f t="shared" si="44"/>
        <v>19</v>
      </c>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21"/>
      <c r="CG38" s="21"/>
      <c r="CH38" s="21"/>
      <c r="CI38" s="21"/>
      <c r="CJ38" s="21"/>
      <c r="CK38" s="21"/>
      <c r="CL38" s="21"/>
      <c r="CM38" s="21"/>
      <c r="CN38" s="21"/>
      <c r="CO38" s="21"/>
      <c r="CP38" s="21"/>
      <c r="CQ38" s="21"/>
      <c r="CR38" s="21"/>
      <c r="CS38" s="21"/>
      <c r="CT38" s="21"/>
      <c r="CU38" s="21"/>
      <c r="CV38" s="21"/>
      <c r="CW38" s="21"/>
      <c r="CX38" s="21"/>
      <c r="CY38" s="21"/>
      <c r="CZ38" s="21"/>
      <c r="DA38" s="21"/>
      <c r="DB38" s="21"/>
      <c r="DC38" s="21"/>
      <c r="DD38" s="21"/>
      <c r="DE38" s="21"/>
      <c r="DF38" s="21"/>
      <c r="DG38" s="21"/>
      <c r="DH38" s="21"/>
      <c r="DI38" s="21"/>
      <c r="DJ38" s="21"/>
      <c r="DK38" s="21"/>
      <c r="DL38" s="21"/>
      <c r="DM38" s="21"/>
      <c r="DN38" s="21"/>
      <c r="DO38" s="21"/>
      <c r="DP38" s="21"/>
      <c r="DQ38" s="21"/>
      <c r="DR38" s="21"/>
      <c r="DS38" s="21"/>
      <c r="DT38" s="21"/>
      <c r="DU38" s="21"/>
      <c r="DV38" s="21"/>
      <c r="DW38" s="21"/>
    </row>
    <row r="39" spans="1:127" s="2" customFormat="1" ht="30" customHeight="1" thickBot="1" x14ac:dyDescent="0.4">
      <c r="A39" s="33"/>
      <c r="B39" s="48" t="s">
        <v>61</v>
      </c>
      <c r="C39" s="43" t="s">
        <v>39</v>
      </c>
      <c r="D39" s="17"/>
      <c r="E39" s="64">
        <v>46177</v>
      </c>
      <c r="F39" s="64">
        <v>46191</v>
      </c>
      <c r="G39" s="8"/>
      <c r="H39" s="8"/>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c r="DE39" s="21"/>
      <c r="DF39" s="21"/>
      <c r="DG39" s="21"/>
      <c r="DH39" s="21"/>
      <c r="DI39" s="21"/>
      <c r="DJ39" s="21"/>
      <c r="DK39" s="21"/>
      <c r="DL39" s="21"/>
      <c r="DM39" s="21"/>
      <c r="DN39" s="21"/>
      <c r="DO39" s="21"/>
      <c r="DP39" s="21"/>
      <c r="DQ39" s="21"/>
      <c r="DR39" s="21"/>
      <c r="DS39" s="21"/>
      <c r="DT39" s="21"/>
      <c r="DU39" s="21"/>
      <c r="DV39" s="21"/>
      <c r="DW39" s="21"/>
    </row>
    <row r="40" spans="1:127" s="2" customFormat="1" ht="30" customHeight="1" thickBot="1" x14ac:dyDescent="0.4">
      <c r="A40" s="33"/>
      <c r="B40" s="48" t="s">
        <v>114</v>
      </c>
      <c r="C40" s="43"/>
      <c r="D40" s="17"/>
      <c r="E40" s="64">
        <v>46174</v>
      </c>
      <c r="F40" s="64">
        <v>46179</v>
      </c>
      <c r="G40" s="8"/>
      <c r="H40" s="8"/>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c r="DE40" s="21"/>
      <c r="DF40" s="21"/>
      <c r="DG40" s="21"/>
      <c r="DH40" s="21"/>
      <c r="DI40" s="21"/>
      <c r="DJ40" s="21"/>
      <c r="DK40" s="21"/>
      <c r="DL40" s="21"/>
      <c r="DM40" s="21"/>
      <c r="DN40" s="21"/>
      <c r="DO40" s="21"/>
      <c r="DP40" s="21"/>
      <c r="DQ40" s="21"/>
      <c r="DR40" s="21"/>
      <c r="DS40" s="21"/>
      <c r="DT40" s="21"/>
      <c r="DU40" s="21"/>
      <c r="DV40" s="21"/>
      <c r="DW40" s="21"/>
    </row>
    <row r="41" spans="1:127" s="2" customFormat="1" ht="30" customHeight="1" thickBot="1" x14ac:dyDescent="0.4">
      <c r="A41" s="33"/>
      <c r="B41" s="48" t="s">
        <v>115</v>
      </c>
      <c r="C41" s="92"/>
      <c r="D41" s="17"/>
      <c r="E41" s="64">
        <v>46174</v>
      </c>
      <c r="F41" s="64">
        <v>46184</v>
      </c>
      <c r="G41" s="8"/>
      <c r="H41" s="8">
        <f t="shared" si="44"/>
        <v>11</v>
      </c>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c r="DE41" s="21"/>
      <c r="DF41" s="21"/>
      <c r="DG41" s="21"/>
      <c r="DH41" s="21"/>
      <c r="DI41" s="21"/>
      <c r="DJ41" s="21"/>
      <c r="DK41" s="21"/>
      <c r="DL41" s="21"/>
      <c r="DM41" s="21"/>
      <c r="DN41" s="21"/>
      <c r="DO41" s="21"/>
      <c r="DP41" s="21"/>
      <c r="DQ41" s="21"/>
      <c r="DR41" s="21"/>
      <c r="DS41" s="21"/>
      <c r="DT41" s="21"/>
      <c r="DU41" s="21"/>
      <c r="DV41" s="21"/>
      <c r="DW41" s="21"/>
    </row>
    <row r="42" spans="1:127" s="2" customFormat="1" ht="30" customHeight="1" thickBot="1" x14ac:dyDescent="0.4">
      <c r="A42" s="33" t="s">
        <v>38</v>
      </c>
      <c r="B42" s="18" t="s">
        <v>74</v>
      </c>
      <c r="C42" s="44"/>
      <c r="D42" s="19"/>
      <c r="E42" s="65"/>
      <c r="F42" s="66"/>
      <c r="G42" s="8"/>
      <c r="H42" s="8" t="str">
        <f t="shared" si="44"/>
        <v/>
      </c>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c r="DE42" s="21"/>
      <c r="DF42" s="21"/>
      <c r="DG42" s="21"/>
      <c r="DH42" s="21"/>
      <c r="DI42" s="21"/>
      <c r="DJ42" s="21"/>
      <c r="DK42" s="21"/>
      <c r="DL42" s="21"/>
      <c r="DM42" s="21"/>
      <c r="DN42" s="21"/>
      <c r="DO42" s="21"/>
      <c r="DP42" s="21"/>
      <c r="DQ42" s="21"/>
      <c r="DR42" s="21"/>
      <c r="DS42" s="21"/>
      <c r="DT42" s="21"/>
      <c r="DU42" s="21"/>
      <c r="DV42" s="21"/>
      <c r="DW42" s="21"/>
    </row>
    <row r="43" spans="1:127" s="2" customFormat="1" ht="30" customHeight="1" thickBot="1" x14ac:dyDescent="0.4">
      <c r="A43" s="33"/>
      <c r="B43" s="49" t="s">
        <v>116</v>
      </c>
      <c r="C43" s="45" t="s">
        <v>36</v>
      </c>
      <c r="D43" s="20"/>
      <c r="E43" s="67">
        <v>46196</v>
      </c>
      <c r="F43" s="96">
        <v>46207</v>
      </c>
      <c r="G43" s="8"/>
      <c r="H43" s="8">
        <f t="shared" si="44"/>
        <v>12</v>
      </c>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c r="DE43" s="21"/>
      <c r="DF43" s="21"/>
      <c r="DG43" s="21"/>
      <c r="DH43" s="21"/>
      <c r="DI43" s="21"/>
      <c r="DJ43" s="21"/>
      <c r="DK43" s="21"/>
      <c r="DL43" s="21"/>
      <c r="DM43" s="21"/>
      <c r="DN43" s="21"/>
      <c r="DO43" s="21"/>
      <c r="DP43" s="21"/>
      <c r="DQ43" s="21"/>
      <c r="DR43" s="21"/>
      <c r="DS43" s="21"/>
      <c r="DT43" s="21"/>
      <c r="DU43" s="21"/>
      <c r="DV43" s="21"/>
      <c r="DW43" s="21"/>
    </row>
    <row r="44" spans="1:127" s="2" customFormat="1" ht="30" customHeight="1" thickBot="1" x14ac:dyDescent="0.4">
      <c r="A44" s="33"/>
      <c r="B44" s="49" t="s">
        <v>117</v>
      </c>
      <c r="C44" s="45" t="s">
        <v>32</v>
      </c>
      <c r="D44" s="20"/>
      <c r="E44" s="67">
        <v>46196</v>
      </c>
      <c r="F44" s="67">
        <v>46207</v>
      </c>
      <c r="G44" s="8"/>
      <c r="H44" s="8">
        <f t="shared" si="44"/>
        <v>12</v>
      </c>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c r="CP44" s="21"/>
      <c r="CQ44" s="21"/>
      <c r="CR44" s="21"/>
      <c r="CS44" s="21"/>
      <c r="CT44" s="21"/>
      <c r="CU44" s="21"/>
      <c r="CV44" s="21"/>
      <c r="CW44" s="21"/>
      <c r="CX44" s="21"/>
      <c r="CY44" s="21"/>
      <c r="CZ44" s="21"/>
      <c r="DA44" s="21"/>
      <c r="DB44" s="21"/>
      <c r="DC44" s="21"/>
      <c r="DD44" s="21"/>
      <c r="DE44" s="21"/>
      <c r="DF44" s="21"/>
      <c r="DG44" s="21"/>
      <c r="DH44" s="21"/>
      <c r="DI44" s="21"/>
      <c r="DJ44" s="21"/>
      <c r="DK44" s="21"/>
      <c r="DL44" s="21"/>
      <c r="DM44" s="21"/>
      <c r="DN44" s="21"/>
      <c r="DO44" s="21"/>
      <c r="DP44" s="21"/>
      <c r="DQ44" s="21"/>
      <c r="DR44" s="21"/>
      <c r="DS44" s="21"/>
      <c r="DT44" s="21"/>
      <c r="DU44" s="21"/>
      <c r="DV44" s="21"/>
      <c r="DW44" s="21"/>
    </row>
    <row r="45" spans="1:127" s="2" customFormat="1" ht="30" customHeight="1" thickBot="1" x14ac:dyDescent="0.4">
      <c r="A45" s="33"/>
      <c r="B45" s="49" t="s">
        <v>77</v>
      </c>
      <c r="C45" s="45" t="s">
        <v>34</v>
      </c>
      <c r="D45" s="20"/>
      <c r="E45" s="67">
        <v>46196</v>
      </c>
      <c r="F45" s="67">
        <v>46207</v>
      </c>
      <c r="G45" s="8"/>
      <c r="H45" s="8">
        <f t="shared" si="44"/>
        <v>12</v>
      </c>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c r="CM45" s="21"/>
      <c r="CN45" s="21"/>
      <c r="CO45" s="21"/>
      <c r="CP45" s="21"/>
      <c r="CQ45" s="21"/>
      <c r="CR45" s="21"/>
      <c r="CS45" s="21"/>
      <c r="CT45" s="21"/>
      <c r="CU45" s="21"/>
      <c r="CV45" s="21"/>
      <c r="CW45" s="21"/>
      <c r="CX45" s="21"/>
      <c r="CY45" s="21"/>
      <c r="CZ45" s="21"/>
      <c r="DA45" s="21"/>
      <c r="DB45" s="21"/>
      <c r="DC45" s="21"/>
      <c r="DD45" s="21"/>
      <c r="DE45" s="21"/>
      <c r="DF45" s="21"/>
      <c r="DG45" s="21"/>
      <c r="DH45" s="21"/>
      <c r="DI45" s="21"/>
      <c r="DJ45" s="21"/>
      <c r="DK45" s="21"/>
      <c r="DL45" s="21"/>
      <c r="DM45" s="21"/>
      <c r="DN45" s="21"/>
      <c r="DO45" s="21"/>
      <c r="DP45" s="21"/>
      <c r="DQ45" s="21"/>
      <c r="DR45" s="21"/>
      <c r="DS45" s="21"/>
      <c r="DT45" s="21"/>
      <c r="DU45" s="21"/>
      <c r="DV45" s="21"/>
      <c r="DW45" s="21"/>
    </row>
    <row r="46" spans="1:127" s="2" customFormat="1" ht="30" customHeight="1" thickBot="1" x14ac:dyDescent="0.4">
      <c r="A46" s="33"/>
      <c r="B46" s="49" t="s">
        <v>118</v>
      </c>
      <c r="C46" s="45"/>
      <c r="D46" s="20"/>
      <c r="E46" s="67">
        <v>46196</v>
      </c>
      <c r="F46" s="67">
        <v>46207</v>
      </c>
      <c r="G46" s="8"/>
      <c r="H46" s="8"/>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c r="CM46" s="21"/>
      <c r="CN46" s="21"/>
      <c r="CO46" s="21"/>
      <c r="CP46" s="21"/>
      <c r="CQ46" s="21"/>
      <c r="CR46" s="21"/>
      <c r="CS46" s="21"/>
      <c r="CT46" s="21"/>
      <c r="CU46" s="21"/>
      <c r="CV46" s="21"/>
      <c r="CW46" s="21"/>
      <c r="CX46" s="21"/>
      <c r="CY46" s="21"/>
      <c r="CZ46" s="21"/>
      <c r="DA46" s="21"/>
      <c r="DB46" s="21"/>
      <c r="DC46" s="21"/>
      <c r="DD46" s="21"/>
      <c r="DE46" s="21"/>
      <c r="DF46" s="21"/>
      <c r="DG46" s="21"/>
      <c r="DH46" s="21"/>
      <c r="DI46" s="21"/>
      <c r="DJ46" s="21"/>
      <c r="DK46" s="21"/>
      <c r="DL46" s="21"/>
      <c r="DM46" s="21"/>
      <c r="DN46" s="21"/>
      <c r="DO46" s="21"/>
      <c r="DP46" s="21"/>
      <c r="DQ46" s="21"/>
      <c r="DR46" s="21"/>
      <c r="DS46" s="21"/>
      <c r="DT46" s="21"/>
      <c r="DU46" s="21"/>
      <c r="DV46" s="21"/>
      <c r="DW46" s="21"/>
    </row>
    <row r="47" spans="1:127" s="2" customFormat="1" ht="30" customHeight="1" thickBot="1" x14ac:dyDescent="0.4">
      <c r="A47" s="33"/>
      <c r="B47" s="49" t="s">
        <v>119</v>
      </c>
      <c r="C47" s="45"/>
      <c r="D47" s="20"/>
      <c r="E47" s="67">
        <v>46180</v>
      </c>
      <c r="F47" s="67">
        <v>46184</v>
      </c>
      <c r="G47" s="8"/>
      <c r="H47" s="8"/>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row>
    <row r="48" spans="1:127" s="2" customFormat="1" ht="30" customHeight="1" thickBot="1" x14ac:dyDescent="0.4">
      <c r="A48" s="33"/>
      <c r="B48" s="49" t="s">
        <v>120</v>
      </c>
      <c r="C48" s="45"/>
      <c r="D48" s="20"/>
      <c r="E48" s="67">
        <v>46180</v>
      </c>
      <c r="F48" s="67">
        <v>46184</v>
      </c>
      <c r="G48" s="8"/>
      <c r="H48" s="8"/>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c r="CX48" s="21"/>
      <c r="CY48" s="21"/>
      <c r="CZ48" s="21"/>
      <c r="DA48" s="21"/>
      <c r="DB48" s="21"/>
      <c r="DC48" s="21"/>
      <c r="DD48" s="21"/>
      <c r="DE48" s="21"/>
      <c r="DF48" s="21"/>
      <c r="DG48" s="21"/>
      <c r="DH48" s="21"/>
      <c r="DI48" s="21"/>
      <c r="DJ48" s="21"/>
      <c r="DK48" s="21"/>
      <c r="DL48" s="21"/>
      <c r="DM48" s="21"/>
      <c r="DN48" s="21"/>
      <c r="DO48" s="21"/>
      <c r="DP48" s="21"/>
      <c r="DQ48" s="21"/>
      <c r="DR48" s="21"/>
      <c r="DS48" s="21"/>
      <c r="DT48" s="21"/>
      <c r="DU48" s="21"/>
      <c r="DV48" s="21"/>
      <c r="DW48" s="21"/>
    </row>
    <row r="49" spans="1:127" s="2" customFormat="1" ht="30" customHeight="1" thickBot="1" x14ac:dyDescent="0.4">
      <c r="A49" s="33"/>
      <c r="B49" s="49" t="s">
        <v>78</v>
      </c>
      <c r="C49" s="69" t="s">
        <v>35</v>
      </c>
      <c r="D49" s="20"/>
      <c r="E49" s="67">
        <v>46180</v>
      </c>
      <c r="F49" s="67">
        <v>46184</v>
      </c>
      <c r="G49" s="8"/>
      <c r="H49" s="8">
        <f t="shared" si="44"/>
        <v>5</v>
      </c>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c r="CV49" s="21"/>
      <c r="CW49" s="21"/>
      <c r="CX49" s="21"/>
      <c r="CY49" s="21"/>
      <c r="CZ49" s="21"/>
      <c r="DA49" s="21"/>
      <c r="DB49" s="21"/>
      <c r="DC49" s="21"/>
      <c r="DD49" s="21"/>
      <c r="DE49" s="21"/>
      <c r="DF49" s="21"/>
      <c r="DG49" s="21"/>
      <c r="DH49" s="21"/>
      <c r="DI49" s="21"/>
      <c r="DJ49" s="21"/>
      <c r="DK49" s="21"/>
      <c r="DL49" s="21"/>
      <c r="DM49" s="21"/>
      <c r="DN49" s="21"/>
      <c r="DO49" s="21"/>
      <c r="DP49" s="21"/>
      <c r="DQ49" s="21"/>
      <c r="DR49" s="21"/>
      <c r="DS49" s="21"/>
      <c r="DT49" s="21"/>
      <c r="DU49" s="21"/>
      <c r="DV49" s="21"/>
      <c r="DW49" s="21"/>
    </row>
    <row r="50" spans="1:127" s="2" customFormat="1" ht="30" customHeight="1" thickBot="1" x14ac:dyDescent="0.4">
      <c r="A50" s="33"/>
      <c r="B50" s="49" t="s">
        <v>61</v>
      </c>
      <c r="C50" s="69" t="s">
        <v>39</v>
      </c>
      <c r="D50" s="20"/>
      <c r="E50" s="67">
        <v>46198</v>
      </c>
      <c r="F50" s="67">
        <v>46212</v>
      </c>
      <c r="G50" s="8"/>
      <c r="H50" s="8">
        <f t="shared" si="44"/>
        <v>15</v>
      </c>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c r="CY50" s="21"/>
      <c r="CZ50" s="21"/>
      <c r="DA50" s="21"/>
      <c r="DB50" s="21"/>
      <c r="DC50" s="21"/>
      <c r="DD50" s="21"/>
      <c r="DE50" s="21"/>
      <c r="DF50" s="21"/>
      <c r="DG50" s="21"/>
      <c r="DH50" s="21"/>
      <c r="DI50" s="21"/>
      <c r="DJ50" s="21"/>
      <c r="DK50" s="21"/>
      <c r="DL50" s="21"/>
      <c r="DM50" s="21"/>
      <c r="DN50" s="21"/>
      <c r="DO50" s="21"/>
      <c r="DP50" s="21"/>
      <c r="DQ50" s="21"/>
      <c r="DR50" s="21"/>
      <c r="DS50" s="21"/>
      <c r="DT50" s="21"/>
      <c r="DU50" s="21"/>
      <c r="DV50" s="21"/>
      <c r="DW50" s="21"/>
    </row>
    <row r="51" spans="1:127" s="2" customFormat="1" ht="30" customHeight="1" thickBot="1" x14ac:dyDescent="0.4">
      <c r="A51" s="33" t="s">
        <v>40</v>
      </c>
      <c r="B51" s="78" t="s">
        <v>128</v>
      </c>
      <c r="C51" s="70"/>
      <c r="D51" s="71"/>
      <c r="E51" s="79"/>
      <c r="F51" s="80"/>
      <c r="G51" s="8"/>
      <c r="H51" s="8" t="str">
        <f t="shared" si="44"/>
        <v/>
      </c>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21"/>
      <c r="CG51" s="21"/>
      <c r="CH51" s="21"/>
      <c r="CI51" s="21"/>
      <c r="CJ51" s="21"/>
      <c r="CK51" s="21"/>
      <c r="CL51" s="21"/>
      <c r="CM51" s="21"/>
      <c r="CN51" s="21"/>
      <c r="CO51" s="21"/>
      <c r="CP51" s="21"/>
      <c r="CQ51" s="21"/>
      <c r="CR51" s="21"/>
      <c r="CS51" s="21"/>
      <c r="CT51" s="21"/>
      <c r="CU51" s="21"/>
      <c r="CV51" s="21"/>
      <c r="CW51" s="21"/>
      <c r="CX51" s="21"/>
      <c r="CY51" s="21"/>
      <c r="CZ51" s="21"/>
      <c r="DA51" s="21"/>
      <c r="DB51" s="21"/>
      <c r="DC51" s="21"/>
      <c r="DD51" s="21"/>
      <c r="DE51" s="21"/>
      <c r="DF51" s="21"/>
      <c r="DG51" s="21"/>
      <c r="DH51" s="21"/>
      <c r="DI51" s="21"/>
      <c r="DJ51" s="21"/>
      <c r="DK51" s="21"/>
      <c r="DL51" s="21"/>
      <c r="DM51" s="21"/>
      <c r="DN51" s="21"/>
      <c r="DO51" s="21"/>
      <c r="DP51" s="21"/>
      <c r="DQ51" s="21"/>
      <c r="DR51" s="21"/>
      <c r="DS51" s="21"/>
      <c r="DT51" s="21"/>
      <c r="DU51" s="21"/>
      <c r="DV51" s="21"/>
      <c r="DW51" s="21"/>
    </row>
    <row r="52" spans="1:127" s="2" customFormat="1" ht="30" customHeight="1" thickBot="1" x14ac:dyDescent="0.4">
      <c r="A52" s="34" t="s">
        <v>41</v>
      </c>
      <c r="B52" s="74" t="s">
        <v>121</v>
      </c>
      <c r="C52" s="75" t="s">
        <v>94</v>
      </c>
      <c r="D52" s="16"/>
      <c r="E52" s="76">
        <v>46217</v>
      </c>
      <c r="F52" s="76">
        <v>46221</v>
      </c>
      <c r="G52" s="88"/>
      <c r="H52" s="88">
        <f t="shared" si="44"/>
        <v>5</v>
      </c>
      <c r="I52" s="89"/>
      <c r="J52" s="89"/>
      <c r="K52" s="89"/>
      <c r="L52" s="89"/>
      <c r="M52" s="89"/>
      <c r="N52" s="89"/>
      <c r="O52" s="89"/>
      <c r="P52" s="89"/>
      <c r="Q52" s="89"/>
      <c r="R52" s="89"/>
      <c r="S52" s="89"/>
      <c r="T52" s="89"/>
      <c r="U52" s="89"/>
      <c r="V52" s="89"/>
      <c r="W52" s="89"/>
      <c r="X52" s="89"/>
      <c r="Y52" s="89"/>
      <c r="Z52" s="89"/>
      <c r="AA52" s="89"/>
      <c r="AB52" s="89"/>
      <c r="AC52" s="89"/>
      <c r="AD52" s="89"/>
      <c r="AE52" s="89"/>
      <c r="AF52" s="89"/>
      <c r="AG52" s="89"/>
      <c r="AH52" s="89"/>
      <c r="AI52" s="89"/>
      <c r="AJ52" s="89"/>
      <c r="AK52" s="89"/>
      <c r="AL52" s="89"/>
      <c r="AM52" s="89"/>
      <c r="AN52" s="89"/>
      <c r="AO52" s="89"/>
      <c r="AP52" s="89"/>
      <c r="AQ52" s="89"/>
      <c r="AR52" s="89"/>
      <c r="AS52" s="89"/>
      <c r="AT52" s="89"/>
      <c r="AU52" s="89"/>
      <c r="AV52" s="89"/>
      <c r="AW52" s="89"/>
      <c r="AX52" s="89"/>
      <c r="AY52" s="89"/>
      <c r="AZ52" s="89"/>
      <c r="BA52" s="89"/>
      <c r="BB52" s="89"/>
      <c r="BC52" s="89"/>
      <c r="BD52" s="89"/>
      <c r="BE52" s="89"/>
      <c r="BF52" s="89"/>
      <c r="BG52" s="89"/>
      <c r="BH52" s="89"/>
      <c r="BI52" s="89"/>
      <c r="BJ52" s="89"/>
      <c r="BK52" s="89"/>
      <c r="BL52" s="89"/>
      <c r="BM52" s="89"/>
      <c r="BN52" s="89"/>
      <c r="BO52" s="89"/>
      <c r="BP52" s="89"/>
      <c r="BQ52" s="89"/>
      <c r="BR52" s="89"/>
      <c r="BS52" s="89"/>
      <c r="BT52" s="89"/>
      <c r="BU52" s="89"/>
      <c r="BV52" s="89"/>
      <c r="BW52" s="89"/>
      <c r="BX52" s="89"/>
      <c r="BY52" s="89"/>
      <c r="BZ52" s="89"/>
      <c r="CA52" s="89"/>
      <c r="CB52" s="89"/>
      <c r="CC52" s="89"/>
      <c r="CD52" s="89"/>
      <c r="CE52" s="89"/>
      <c r="CF52" s="89"/>
      <c r="CG52" s="89"/>
      <c r="CH52" s="89"/>
      <c r="CI52" s="89"/>
      <c r="CJ52" s="89"/>
      <c r="CK52" s="89"/>
      <c r="CL52" s="89"/>
      <c r="CM52" s="89"/>
      <c r="CN52" s="89"/>
      <c r="CO52" s="89"/>
      <c r="CP52" s="89"/>
      <c r="CQ52" s="89"/>
      <c r="CR52" s="89"/>
      <c r="CS52" s="89"/>
      <c r="CT52" s="89"/>
      <c r="CU52" s="89"/>
      <c r="CV52" s="89"/>
      <c r="CW52" s="89"/>
      <c r="CX52" s="89"/>
      <c r="CY52" s="89"/>
      <c r="CZ52" s="89"/>
      <c r="DA52" s="89"/>
      <c r="DB52" s="89"/>
      <c r="DC52" s="89"/>
      <c r="DD52" s="89"/>
      <c r="DE52" s="89"/>
      <c r="DF52" s="89"/>
      <c r="DG52" s="89"/>
      <c r="DH52" s="89"/>
      <c r="DI52" s="89"/>
      <c r="DJ52" s="89"/>
      <c r="DK52" s="89"/>
      <c r="DL52" s="89"/>
      <c r="DM52" s="89"/>
      <c r="DN52" s="89"/>
      <c r="DO52" s="89"/>
      <c r="DP52" s="89"/>
      <c r="DQ52" s="89"/>
      <c r="DR52" s="89"/>
      <c r="DS52" s="89"/>
      <c r="DT52" s="89"/>
      <c r="DU52" s="89"/>
      <c r="DV52" s="89"/>
      <c r="DW52" s="89"/>
    </row>
    <row r="53" spans="1:127" ht="30" customHeight="1" thickBot="1" x14ac:dyDescent="0.4">
      <c r="B53" s="74" t="s">
        <v>81</v>
      </c>
      <c r="C53" s="75" t="s">
        <v>34</v>
      </c>
      <c r="D53" s="16"/>
      <c r="E53" s="76">
        <v>46217</v>
      </c>
      <c r="F53" s="76">
        <v>46221</v>
      </c>
      <c r="G53" s="88"/>
      <c r="H53" s="88">
        <f t="shared" ref="H53:H71" si="45">IF(OR(ISBLANK(task_start),ISBLANK(task_end)),"",task_end-task_start+1)</f>
        <v>5</v>
      </c>
      <c r="I53" s="89"/>
      <c r="J53" s="89"/>
      <c r="K53" s="89"/>
      <c r="L53" s="89"/>
      <c r="M53" s="89"/>
      <c r="N53" s="89"/>
      <c r="O53" s="89"/>
      <c r="P53" s="89"/>
      <c r="Q53" s="89"/>
      <c r="R53" s="89"/>
      <c r="S53" s="89"/>
      <c r="T53" s="89"/>
      <c r="U53" s="89"/>
      <c r="V53" s="89"/>
      <c r="W53" s="89"/>
      <c r="X53" s="89"/>
      <c r="Y53" s="89"/>
      <c r="Z53" s="89"/>
      <c r="AA53" s="89"/>
      <c r="AB53" s="89"/>
      <c r="AC53" s="89"/>
      <c r="AD53" s="89"/>
      <c r="AE53" s="89"/>
      <c r="AF53" s="89"/>
      <c r="AG53" s="89"/>
      <c r="AH53" s="89"/>
      <c r="AI53" s="89"/>
      <c r="AJ53" s="89"/>
      <c r="AK53" s="89"/>
      <c r="AL53" s="89"/>
      <c r="AM53" s="89"/>
      <c r="AN53" s="89"/>
      <c r="AO53" s="89"/>
      <c r="AP53" s="89"/>
      <c r="AQ53" s="89"/>
      <c r="AR53" s="89"/>
      <c r="AS53" s="89"/>
      <c r="AT53" s="89"/>
      <c r="AU53" s="89"/>
      <c r="AV53" s="89"/>
      <c r="AW53" s="89"/>
      <c r="AX53" s="89"/>
      <c r="AY53" s="89"/>
      <c r="AZ53" s="89"/>
      <c r="BA53" s="89"/>
      <c r="BB53" s="89"/>
      <c r="BC53" s="89"/>
      <c r="BD53" s="89"/>
      <c r="BE53" s="89"/>
      <c r="BF53" s="89"/>
      <c r="BG53" s="89"/>
      <c r="BH53" s="89"/>
      <c r="BI53" s="89"/>
      <c r="BJ53" s="89"/>
      <c r="BK53" s="89"/>
      <c r="BL53" s="89"/>
      <c r="BM53" s="89"/>
      <c r="BN53" s="89"/>
      <c r="BO53" s="89"/>
      <c r="BP53" s="89"/>
      <c r="BQ53" s="89"/>
      <c r="BR53" s="89"/>
      <c r="BS53" s="89"/>
      <c r="BT53" s="89"/>
      <c r="BU53" s="89"/>
      <c r="BV53" s="89"/>
      <c r="BW53" s="89"/>
      <c r="BX53" s="89"/>
      <c r="BY53" s="89"/>
      <c r="BZ53" s="89"/>
      <c r="CA53" s="89"/>
      <c r="CB53" s="89"/>
      <c r="CC53" s="89"/>
      <c r="CD53" s="89"/>
      <c r="CE53" s="89"/>
      <c r="CF53" s="89"/>
      <c r="CG53" s="89"/>
      <c r="CH53" s="89"/>
      <c r="CI53" s="89"/>
      <c r="CJ53" s="89"/>
      <c r="CK53" s="89"/>
      <c r="CL53" s="89"/>
      <c r="CM53" s="89"/>
      <c r="CN53" s="89"/>
      <c r="CO53" s="89"/>
      <c r="CP53" s="89"/>
      <c r="CQ53" s="89"/>
      <c r="CR53" s="89"/>
      <c r="CS53" s="89"/>
      <c r="CT53" s="89"/>
      <c r="CU53" s="89"/>
      <c r="CV53" s="89"/>
      <c r="CW53" s="89"/>
      <c r="CX53" s="89"/>
      <c r="CY53" s="89"/>
      <c r="CZ53" s="89"/>
      <c r="DA53" s="89"/>
      <c r="DB53" s="89"/>
      <c r="DC53" s="89"/>
      <c r="DD53" s="89"/>
      <c r="DE53" s="89"/>
      <c r="DF53" s="89"/>
      <c r="DG53" s="89"/>
      <c r="DH53" s="89"/>
      <c r="DI53" s="89"/>
      <c r="DJ53" s="89"/>
      <c r="DK53" s="89"/>
      <c r="DL53" s="89"/>
      <c r="DM53" s="89"/>
      <c r="DN53" s="89"/>
      <c r="DO53" s="89"/>
      <c r="DP53" s="89"/>
      <c r="DQ53" s="89"/>
      <c r="DR53" s="89"/>
      <c r="DS53" s="89"/>
      <c r="DT53" s="89"/>
      <c r="DU53" s="89"/>
      <c r="DV53" s="89"/>
      <c r="DW53" s="89"/>
    </row>
    <row r="54" spans="1:127" ht="30" customHeight="1" thickBot="1" x14ac:dyDescent="0.4">
      <c r="B54" s="74" t="s">
        <v>122</v>
      </c>
      <c r="C54" s="75"/>
      <c r="D54" s="16"/>
      <c r="E54" s="76">
        <v>46217</v>
      </c>
      <c r="F54" s="76">
        <v>46221</v>
      </c>
      <c r="G54" s="88"/>
      <c r="H54" s="88"/>
      <c r="I54" s="89"/>
      <c r="J54" s="89"/>
      <c r="K54" s="89"/>
      <c r="L54" s="89"/>
      <c r="M54" s="89"/>
      <c r="N54" s="89"/>
      <c r="O54" s="89"/>
      <c r="P54" s="89"/>
      <c r="Q54" s="89"/>
      <c r="R54" s="89"/>
      <c r="S54" s="89"/>
      <c r="T54" s="89"/>
      <c r="U54" s="89"/>
      <c r="V54" s="89"/>
      <c r="W54" s="89"/>
      <c r="X54" s="89"/>
      <c r="Y54" s="89"/>
      <c r="Z54" s="89"/>
      <c r="AA54" s="89"/>
      <c r="AB54" s="89"/>
      <c r="AC54" s="89"/>
      <c r="AD54" s="89"/>
      <c r="AE54" s="89"/>
      <c r="AF54" s="89"/>
      <c r="AG54" s="89"/>
      <c r="AH54" s="89"/>
      <c r="AI54" s="89"/>
      <c r="AJ54" s="89"/>
      <c r="AK54" s="89"/>
      <c r="AL54" s="89"/>
      <c r="AM54" s="89"/>
      <c r="AN54" s="89"/>
      <c r="AO54" s="89"/>
      <c r="AP54" s="89"/>
      <c r="AQ54" s="89"/>
      <c r="AR54" s="89"/>
      <c r="AS54" s="89"/>
      <c r="AT54" s="89"/>
      <c r="AU54" s="89"/>
      <c r="AV54" s="89"/>
      <c r="AW54" s="89"/>
      <c r="AX54" s="89"/>
      <c r="AY54" s="89"/>
      <c r="AZ54" s="89"/>
      <c r="BA54" s="89"/>
      <c r="BB54" s="89"/>
      <c r="BC54" s="89"/>
      <c r="BD54" s="89"/>
      <c r="BE54" s="89"/>
      <c r="BF54" s="89"/>
      <c r="BG54" s="89"/>
      <c r="BH54" s="89"/>
      <c r="BI54" s="89"/>
      <c r="BJ54" s="89"/>
      <c r="BK54" s="89"/>
      <c r="BL54" s="89"/>
      <c r="BM54" s="89"/>
      <c r="BN54" s="89"/>
      <c r="BO54" s="89"/>
      <c r="BP54" s="89"/>
      <c r="BQ54" s="89"/>
      <c r="BR54" s="89"/>
      <c r="BS54" s="89"/>
      <c r="BT54" s="89"/>
      <c r="BU54" s="89"/>
      <c r="BV54" s="89"/>
      <c r="BW54" s="89"/>
      <c r="BX54" s="89"/>
      <c r="BY54" s="89"/>
      <c r="BZ54" s="89"/>
      <c r="CA54" s="89"/>
      <c r="CB54" s="89"/>
      <c r="CC54" s="89"/>
      <c r="CD54" s="89"/>
      <c r="CE54" s="89"/>
      <c r="CF54" s="89"/>
      <c r="CG54" s="89"/>
      <c r="CH54" s="89"/>
      <c r="CI54" s="89"/>
      <c r="CJ54" s="89"/>
      <c r="CK54" s="89"/>
      <c r="CL54" s="89"/>
      <c r="CM54" s="89"/>
      <c r="CN54" s="89"/>
      <c r="CO54" s="89"/>
      <c r="CP54" s="89"/>
      <c r="CQ54" s="89"/>
      <c r="CR54" s="89"/>
      <c r="CS54" s="89"/>
      <c r="CT54" s="89"/>
      <c r="CU54" s="89"/>
      <c r="CV54" s="89"/>
      <c r="CW54" s="89"/>
      <c r="CX54" s="89"/>
      <c r="CY54" s="89"/>
      <c r="CZ54" s="89"/>
      <c r="DA54" s="89"/>
      <c r="DB54" s="89"/>
      <c r="DC54" s="89"/>
      <c r="DD54" s="89"/>
      <c r="DE54" s="89"/>
      <c r="DF54" s="89"/>
      <c r="DG54" s="89"/>
      <c r="DH54" s="89"/>
      <c r="DI54" s="89"/>
      <c r="DJ54" s="89"/>
      <c r="DK54" s="89"/>
      <c r="DL54" s="89"/>
      <c r="DM54" s="89"/>
      <c r="DN54" s="89"/>
      <c r="DO54" s="89"/>
      <c r="DP54" s="89"/>
      <c r="DQ54" s="89"/>
      <c r="DR54" s="89"/>
      <c r="DS54" s="89"/>
      <c r="DT54" s="89"/>
      <c r="DU54" s="89"/>
      <c r="DV54" s="89"/>
      <c r="DW54" s="89"/>
    </row>
    <row r="55" spans="1:127" ht="30" customHeight="1" thickBot="1" x14ac:dyDescent="0.4">
      <c r="B55" s="74" t="s">
        <v>123</v>
      </c>
      <c r="C55" s="75"/>
      <c r="D55" s="16"/>
      <c r="E55" s="76">
        <v>46217</v>
      </c>
      <c r="F55" s="76">
        <v>46221</v>
      </c>
      <c r="G55" s="88"/>
      <c r="H55" s="88"/>
      <c r="I55" s="89"/>
      <c r="J55" s="89"/>
      <c r="K55" s="89"/>
      <c r="L55" s="89"/>
      <c r="M55" s="89"/>
      <c r="N55" s="89"/>
      <c r="O55" s="89"/>
      <c r="P55" s="89"/>
      <c r="Q55" s="89"/>
      <c r="R55" s="89"/>
      <c r="S55" s="89"/>
      <c r="T55" s="89"/>
      <c r="U55" s="89"/>
      <c r="V55" s="89"/>
      <c r="W55" s="89"/>
      <c r="X55" s="89"/>
      <c r="Y55" s="89"/>
      <c r="Z55" s="89"/>
      <c r="AA55" s="89"/>
      <c r="AB55" s="89"/>
      <c r="AC55" s="89"/>
      <c r="AD55" s="89"/>
      <c r="AE55" s="89"/>
      <c r="AF55" s="89"/>
      <c r="AG55" s="89"/>
      <c r="AH55" s="89"/>
      <c r="AI55" s="89"/>
      <c r="AJ55" s="89"/>
      <c r="AK55" s="89"/>
      <c r="AL55" s="89"/>
      <c r="AM55" s="89"/>
      <c r="AN55" s="89"/>
      <c r="AO55" s="89"/>
      <c r="AP55" s="89"/>
      <c r="AQ55" s="89"/>
      <c r="AR55" s="89"/>
      <c r="AS55" s="89"/>
      <c r="AT55" s="89"/>
      <c r="AU55" s="89"/>
      <c r="AV55" s="89"/>
      <c r="AW55" s="89"/>
      <c r="AX55" s="89"/>
      <c r="AY55" s="89"/>
      <c r="AZ55" s="89"/>
      <c r="BA55" s="89"/>
      <c r="BB55" s="89"/>
      <c r="BC55" s="89"/>
      <c r="BD55" s="89"/>
      <c r="BE55" s="89"/>
      <c r="BF55" s="89"/>
      <c r="BG55" s="89"/>
      <c r="BH55" s="89"/>
      <c r="BI55" s="89"/>
      <c r="BJ55" s="89"/>
      <c r="BK55" s="89"/>
      <c r="BL55" s="89"/>
      <c r="BM55" s="89"/>
      <c r="BN55" s="89"/>
      <c r="BO55" s="89"/>
      <c r="BP55" s="89"/>
      <c r="BQ55" s="89"/>
      <c r="BR55" s="89"/>
      <c r="BS55" s="89"/>
      <c r="BT55" s="89"/>
      <c r="BU55" s="89"/>
      <c r="BV55" s="89"/>
      <c r="BW55" s="89"/>
      <c r="BX55" s="89"/>
      <c r="BY55" s="89"/>
      <c r="BZ55" s="89"/>
      <c r="CA55" s="89"/>
      <c r="CB55" s="89"/>
      <c r="CC55" s="89"/>
      <c r="CD55" s="89"/>
      <c r="CE55" s="89"/>
      <c r="CF55" s="89"/>
      <c r="CG55" s="89"/>
      <c r="CH55" s="89"/>
      <c r="CI55" s="89"/>
      <c r="CJ55" s="89"/>
      <c r="CK55" s="89"/>
      <c r="CL55" s="89"/>
      <c r="CM55" s="89"/>
      <c r="CN55" s="89"/>
      <c r="CO55" s="89"/>
      <c r="CP55" s="89"/>
      <c r="CQ55" s="89"/>
      <c r="CR55" s="89"/>
      <c r="CS55" s="89"/>
      <c r="CT55" s="89"/>
      <c r="CU55" s="89"/>
      <c r="CV55" s="89"/>
      <c r="CW55" s="89"/>
      <c r="CX55" s="89"/>
      <c r="CY55" s="89"/>
      <c r="CZ55" s="89"/>
      <c r="DA55" s="89"/>
      <c r="DB55" s="89"/>
      <c r="DC55" s="89"/>
      <c r="DD55" s="89"/>
      <c r="DE55" s="89"/>
      <c r="DF55" s="89"/>
      <c r="DG55" s="89"/>
      <c r="DH55" s="89"/>
      <c r="DI55" s="89"/>
      <c r="DJ55" s="89"/>
      <c r="DK55" s="89"/>
      <c r="DL55" s="89"/>
      <c r="DM55" s="89"/>
      <c r="DN55" s="89"/>
      <c r="DO55" s="89"/>
      <c r="DP55" s="89"/>
      <c r="DQ55" s="89"/>
      <c r="DR55" s="89"/>
      <c r="DS55" s="89"/>
      <c r="DT55" s="89"/>
      <c r="DU55" s="89"/>
      <c r="DV55" s="89"/>
      <c r="DW55" s="89"/>
    </row>
    <row r="56" spans="1:127" ht="30" customHeight="1" thickBot="1" x14ac:dyDescent="0.4">
      <c r="B56" s="74" t="s">
        <v>124</v>
      </c>
      <c r="C56" s="75"/>
      <c r="D56" s="16"/>
      <c r="E56" s="76">
        <v>46217</v>
      </c>
      <c r="F56" s="76">
        <v>46228</v>
      </c>
      <c r="G56" s="88"/>
      <c r="H56" s="88"/>
      <c r="I56" s="89"/>
      <c r="J56" s="89"/>
      <c r="K56" s="89"/>
      <c r="L56" s="89"/>
      <c r="M56" s="89"/>
      <c r="N56" s="89"/>
      <c r="O56" s="89"/>
      <c r="P56" s="89"/>
      <c r="Q56" s="89"/>
      <c r="R56" s="89"/>
      <c r="S56" s="89"/>
      <c r="T56" s="89"/>
      <c r="U56" s="89"/>
      <c r="V56" s="89"/>
      <c r="W56" s="89"/>
      <c r="X56" s="89"/>
      <c r="Y56" s="89"/>
      <c r="Z56" s="89"/>
      <c r="AA56" s="89"/>
      <c r="AB56" s="89"/>
      <c r="AC56" s="89"/>
      <c r="AD56" s="89"/>
      <c r="AE56" s="89"/>
      <c r="AF56" s="89"/>
      <c r="AG56" s="89"/>
      <c r="AH56" s="89"/>
      <c r="AI56" s="89"/>
      <c r="AJ56" s="89"/>
      <c r="AK56" s="89"/>
      <c r="AL56" s="89"/>
      <c r="AM56" s="89"/>
      <c r="AN56" s="89"/>
      <c r="AO56" s="89"/>
      <c r="AP56" s="89"/>
      <c r="AQ56" s="89"/>
      <c r="AR56" s="89"/>
      <c r="AS56" s="89"/>
      <c r="AT56" s="89"/>
      <c r="AU56" s="89"/>
      <c r="AV56" s="89"/>
      <c r="AW56" s="89"/>
      <c r="AX56" s="89"/>
      <c r="AY56" s="89"/>
      <c r="AZ56" s="89"/>
      <c r="BA56" s="89"/>
      <c r="BB56" s="89"/>
      <c r="BC56" s="89"/>
      <c r="BD56" s="89"/>
      <c r="BE56" s="89"/>
      <c r="BF56" s="89"/>
      <c r="BG56" s="89"/>
      <c r="BH56" s="89"/>
      <c r="BI56" s="89"/>
      <c r="BJ56" s="89"/>
      <c r="BK56" s="89"/>
      <c r="BL56" s="89"/>
      <c r="BM56" s="89"/>
      <c r="BN56" s="89"/>
      <c r="BO56" s="89"/>
      <c r="BP56" s="89"/>
      <c r="BQ56" s="89"/>
      <c r="BR56" s="89"/>
      <c r="BS56" s="89"/>
      <c r="BT56" s="89"/>
      <c r="BU56" s="89"/>
      <c r="BV56" s="89"/>
      <c r="BW56" s="89"/>
      <c r="BX56" s="89"/>
      <c r="BY56" s="89"/>
      <c r="BZ56" s="89"/>
      <c r="CA56" s="89"/>
      <c r="CB56" s="89"/>
      <c r="CC56" s="89"/>
      <c r="CD56" s="89"/>
      <c r="CE56" s="89"/>
      <c r="CF56" s="89"/>
      <c r="CG56" s="89"/>
      <c r="CH56" s="89"/>
      <c r="CI56" s="89"/>
      <c r="CJ56" s="89"/>
      <c r="CK56" s="89"/>
      <c r="CL56" s="89"/>
      <c r="CM56" s="89"/>
      <c r="CN56" s="89"/>
      <c r="CO56" s="89"/>
      <c r="CP56" s="89"/>
      <c r="CQ56" s="89"/>
      <c r="CR56" s="89"/>
      <c r="CS56" s="89"/>
      <c r="CT56" s="89"/>
      <c r="CU56" s="89"/>
      <c r="CV56" s="89"/>
      <c r="CW56" s="89"/>
      <c r="CX56" s="89"/>
      <c r="CY56" s="89"/>
      <c r="CZ56" s="89"/>
      <c r="DA56" s="89"/>
      <c r="DB56" s="89"/>
      <c r="DC56" s="89"/>
      <c r="DD56" s="89"/>
      <c r="DE56" s="89"/>
      <c r="DF56" s="89"/>
      <c r="DG56" s="89"/>
      <c r="DH56" s="89"/>
      <c r="DI56" s="89"/>
      <c r="DJ56" s="89"/>
      <c r="DK56" s="89"/>
      <c r="DL56" s="89"/>
      <c r="DM56" s="89"/>
      <c r="DN56" s="89"/>
      <c r="DO56" s="89"/>
      <c r="DP56" s="89"/>
      <c r="DQ56" s="89"/>
      <c r="DR56" s="89"/>
      <c r="DS56" s="89"/>
      <c r="DT56" s="89"/>
      <c r="DU56" s="89"/>
      <c r="DV56" s="89"/>
      <c r="DW56" s="89"/>
    </row>
    <row r="57" spans="1:127" ht="30" customHeight="1" thickBot="1" x14ac:dyDescent="0.4">
      <c r="B57" s="74" t="s">
        <v>125</v>
      </c>
      <c r="C57" s="75"/>
      <c r="D57" s="16"/>
      <c r="E57" s="76">
        <v>46224</v>
      </c>
      <c r="F57" s="76">
        <v>46228</v>
      </c>
      <c r="G57" s="88"/>
      <c r="H57" s="88"/>
      <c r="I57" s="89"/>
      <c r="J57" s="89"/>
      <c r="K57" s="89"/>
      <c r="L57" s="89"/>
      <c r="M57" s="89"/>
      <c r="N57" s="89"/>
      <c r="O57" s="89"/>
      <c r="P57" s="89"/>
      <c r="Q57" s="89"/>
      <c r="R57" s="89"/>
      <c r="S57" s="89"/>
      <c r="T57" s="89"/>
      <c r="U57" s="89"/>
      <c r="V57" s="89"/>
      <c r="W57" s="89"/>
      <c r="X57" s="89"/>
      <c r="Y57" s="89"/>
      <c r="Z57" s="89"/>
      <c r="AA57" s="89"/>
      <c r="AB57" s="89"/>
      <c r="AC57" s="89"/>
      <c r="AD57" s="89"/>
      <c r="AE57" s="89"/>
      <c r="AF57" s="89"/>
      <c r="AG57" s="89"/>
      <c r="AH57" s="89"/>
      <c r="AI57" s="89"/>
      <c r="AJ57" s="89"/>
      <c r="AK57" s="89"/>
      <c r="AL57" s="89"/>
      <c r="AM57" s="89"/>
      <c r="AN57" s="89"/>
      <c r="AO57" s="89"/>
      <c r="AP57" s="89"/>
      <c r="AQ57" s="89"/>
      <c r="AR57" s="89"/>
      <c r="AS57" s="89"/>
      <c r="AT57" s="89"/>
      <c r="AU57" s="89"/>
      <c r="AV57" s="89"/>
      <c r="AW57" s="89"/>
      <c r="AX57" s="89"/>
      <c r="AY57" s="89"/>
      <c r="AZ57" s="89"/>
      <c r="BA57" s="89"/>
      <c r="BB57" s="89"/>
      <c r="BC57" s="89"/>
      <c r="BD57" s="89"/>
      <c r="BE57" s="89"/>
      <c r="BF57" s="89"/>
      <c r="BG57" s="89"/>
      <c r="BH57" s="89"/>
      <c r="BI57" s="89"/>
      <c r="BJ57" s="89"/>
      <c r="BK57" s="89"/>
      <c r="BL57" s="89"/>
      <c r="BM57" s="89"/>
      <c r="BN57" s="89"/>
      <c r="BO57" s="89"/>
      <c r="BP57" s="89"/>
      <c r="BQ57" s="89"/>
      <c r="BR57" s="89"/>
      <c r="BS57" s="89"/>
      <c r="BT57" s="89"/>
      <c r="BU57" s="89"/>
      <c r="BV57" s="89"/>
      <c r="BW57" s="89"/>
      <c r="BX57" s="89"/>
      <c r="BY57" s="89"/>
      <c r="BZ57" s="89"/>
      <c r="CA57" s="89"/>
      <c r="CB57" s="89"/>
      <c r="CC57" s="89"/>
      <c r="CD57" s="89"/>
      <c r="CE57" s="89"/>
      <c r="CF57" s="89"/>
      <c r="CG57" s="89"/>
      <c r="CH57" s="89"/>
      <c r="CI57" s="89"/>
      <c r="CJ57" s="89"/>
      <c r="CK57" s="89"/>
      <c r="CL57" s="89"/>
      <c r="CM57" s="89"/>
      <c r="CN57" s="89"/>
      <c r="CO57" s="89"/>
      <c r="CP57" s="89"/>
      <c r="CQ57" s="89"/>
      <c r="CR57" s="89"/>
      <c r="CS57" s="89"/>
      <c r="CT57" s="89"/>
      <c r="CU57" s="89"/>
      <c r="CV57" s="89"/>
      <c r="CW57" s="89"/>
      <c r="CX57" s="89"/>
      <c r="CY57" s="89"/>
      <c r="CZ57" s="89"/>
      <c r="DA57" s="89"/>
      <c r="DB57" s="89"/>
      <c r="DC57" s="89"/>
      <c r="DD57" s="89"/>
      <c r="DE57" s="89"/>
      <c r="DF57" s="89"/>
      <c r="DG57" s="89"/>
      <c r="DH57" s="89"/>
      <c r="DI57" s="89"/>
      <c r="DJ57" s="89"/>
      <c r="DK57" s="89"/>
      <c r="DL57" s="89"/>
      <c r="DM57" s="89"/>
      <c r="DN57" s="89"/>
      <c r="DO57" s="89"/>
      <c r="DP57" s="89"/>
      <c r="DQ57" s="89"/>
      <c r="DR57" s="89"/>
      <c r="DS57" s="89"/>
      <c r="DT57" s="89"/>
      <c r="DU57" s="89"/>
      <c r="DV57" s="89"/>
      <c r="DW57" s="89"/>
    </row>
    <row r="58" spans="1:127" ht="30" customHeight="1" thickBot="1" x14ac:dyDescent="0.4">
      <c r="B58" s="74" t="s">
        <v>126</v>
      </c>
      <c r="C58" s="75"/>
      <c r="D58" s="16"/>
      <c r="E58" s="76">
        <v>46224</v>
      </c>
      <c r="F58" s="76">
        <v>46228</v>
      </c>
      <c r="G58" s="88"/>
      <c r="H58" s="88"/>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89"/>
      <c r="BL58" s="89"/>
      <c r="BM58" s="89"/>
      <c r="BN58" s="89"/>
      <c r="BO58" s="89"/>
      <c r="BP58" s="89"/>
      <c r="BQ58" s="89"/>
      <c r="BR58" s="89"/>
      <c r="BS58" s="89"/>
      <c r="BT58" s="89"/>
      <c r="BU58" s="89"/>
      <c r="BV58" s="89"/>
      <c r="BW58" s="89"/>
      <c r="BX58" s="89"/>
      <c r="BY58" s="89"/>
      <c r="BZ58" s="89"/>
      <c r="CA58" s="89"/>
      <c r="CB58" s="89"/>
      <c r="CC58" s="89"/>
      <c r="CD58" s="89"/>
      <c r="CE58" s="89"/>
      <c r="CF58" s="89"/>
      <c r="CG58" s="89"/>
      <c r="CH58" s="89"/>
      <c r="CI58" s="89"/>
      <c r="CJ58" s="89"/>
      <c r="CK58" s="89"/>
      <c r="CL58" s="89"/>
      <c r="CM58" s="89"/>
      <c r="CN58" s="89"/>
      <c r="CO58" s="89"/>
      <c r="CP58" s="89"/>
      <c r="CQ58" s="89"/>
      <c r="CR58" s="89"/>
      <c r="CS58" s="89"/>
      <c r="CT58" s="89"/>
      <c r="CU58" s="89"/>
      <c r="CV58" s="89"/>
      <c r="CW58" s="89"/>
      <c r="CX58" s="89"/>
      <c r="CY58" s="89"/>
      <c r="CZ58" s="89"/>
      <c r="DA58" s="89"/>
      <c r="DB58" s="89"/>
      <c r="DC58" s="89"/>
      <c r="DD58" s="89"/>
      <c r="DE58" s="89"/>
      <c r="DF58" s="89"/>
      <c r="DG58" s="89"/>
      <c r="DH58" s="89"/>
      <c r="DI58" s="89"/>
      <c r="DJ58" s="89"/>
      <c r="DK58" s="89"/>
      <c r="DL58" s="89"/>
      <c r="DM58" s="89"/>
      <c r="DN58" s="89"/>
      <c r="DO58" s="89"/>
      <c r="DP58" s="89"/>
      <c r="DQ58" s="89"/>
      <c r="DR58" s="89"/>
      <c r="DS58" s="89"/>
      <c r="DT58" s="89"/>
      <c r="DU58" s="89"/>
      <c r="DV58" s="89"/>
      <c r="DW58" s="89"/>
    </row>
    <row r="59" spans="1:127" ht="30" customHeight="1" thickBot="1" x14ac:dyDescent="0.4">
      <c r="B59" s="74" t="s">
        <v>83</v>
      </c>
      <c r="C59" s="75" t="s">
        <v>36</v>
      </c>
      <c r="D59" s="16"/>
      <c r="E59" s="76">
        <v>46217</v>
      </c>
      <c r="F59" s="76">
        <v>46228</v>
      </c>
      <c r="G59" s="88"/>
      <c r="H59" s="88">
        <f t="shared" si="45"/>
        <v>12</v>
      </c>
      <c r="I59" s="89"/>
      <c r="J59" s="89"/>
      <c r="K59" s="89"/>
      <c r="L59" s="89"/>
      <c r="M59" s="89"/>
      <c r="N59" s="89"/>
      <c r="O59" s="89"/>
      <c r="P59" s="89"/>
      <c r="Q59" s="89"/>
      <c r="R59" s="89"/>
      <c r="S59" s="89"/>
      <c r="T59" s="89"/>
      <c r="U59" s="89"/>
      <c r="V59" s="89"/>
      <c r="W59" s="89"/>
      <c r="X59" s="89"/>
      <c r="Y59" s="89"/>
      <c r="Z59" s="89"/>
      <c r="AA59" s="89"/>
      <c r="AB59" s="89"/>
      <c r="AC59" s="89"/>
      <c r="AD59" s="89"/>
      <c r="AE59" s="89"/>
      <c r="AF59" s="89"/>
      <c r="AG59" s="89"/>
      <c r="AH59" s="89"/>
      <c r="AI59" s="89"/>
      <c r="AJ59" s="89"/>
      <c r="AK59" s="89"/>
      <c r="AL59" s="89"/>
      <c r="AM59" s="89"/>
      <c r="AN59" s="89"/>
      <c r="AO59" s="89"/>
      <c r="AP59" s="89"/>
      <c r="AQ59" s="89"/>
      <c r="AR59" s="89"/>
      <c r="AS59" s="89"/>
      <c r="AT59" s="89"/>
      <c r="AU59" s="89"/>
      <c r="AV59" s="89"/>
      <c r="AW59" s="89"/>
      <c r="AX59" s="89"/>
      <c r="AY59" s="89"/>
      <c r="AZ59" s="89"/>
      <c r="BA59" s="89"/>
      <c r="BB59" s="89"/>
      <c r="BC59" s="89"/>
      <c r="BD59" s="89"/>
      <c r="BE59" s="89"/>
      <c r="BF59" s="89"/>
      <c r="BG59" s="89"/>
      <c r="BH59" s="89"/>
      <c r="BI59" s="89"/>
      <c r="BJ59" s="89"/>
      <c r="BK59" s="89"/>
      <c r="BL59" s="89"/>
      <c r="BM59" s="89"/>
      <c r="BN59" s="89"/>
      <c r="BO59" s="89"/>
      <c r="BP59" s="89"/>
      <c r="BQ59" s="89"/>
      <c r="BR59" s="89"/>
      <c r="BS59" s="89"/>
      <c r="BT59" s="89"/>
      <c r="BU59" s="89"/>
      <c r="BV59" s="89"/>
      <c r="BW59" s="89"/>
      <c r="BX59" s="89"/>
      <c r="BY59" s="89"/>
      <c r="BZ59" s="89"/>
      <c r="CA59" s="89"/>
      <c r="CB59" s="89"/>
      <c r="CC59" s="89"/>
      <c r="CD59" s="89"/>
      <c r="CE59" s="89"/>
      <c r="CF59" s="89"/>
      <c r="CG59" s="89"/>
      <c r="CH59" s="89"/>
      <c r="CI59" s="89"/>
      <c r="CJ59" s="89"/>
      <c r="CK59" s="89"/>
      <c r="CL59" s="89"/>
      <c r="CM59" s="89"/>
      <c r="CN59" s="89"/>
      <c r="CO59" s="89"/>
      <c r="CP59" s="89"/>
      <c r="CQ59" s="89"/>
      <c r="CR59" s="89"/>
      <c r="CS59" s="89"/>
      <c r="CT59" s="89"/>
      <c r="CU59" s="89"/>
      <c r="CV59" s="89"/>
      <c r="CW59" s="89"/>
      <c r="CX59" s="89"/>
      <c r="CY59" s="89"/>
      <c r="CZ59" s="89"/>
      <c r="DA59" s="89"/>
      <c r="DB59" s="89"/>
      <c r="DC59" s="89"/>
      <c r="DD59" s="89"/>
      <c r="DE59" s="89"/>
      <c r="DF59" s="89"/>
      <c r="DG59" s="89"/>
      <c r="DH59" s="89"/>
      <c r="DI59" s="89"/>
      <c r="DJ59" s="89"/>
      <c r="DK59" s="89"/>
      <c r="DL59" s="89"/>
      <c r="DM59" s="89"/>
      <c r="DN59" s="89"/>
      <c r="DO59" s="89"/>
      <c r="DP59" s="89"/>
      <c r="DQ59" s="89"/>
      <c r="DR59" s="89"/>
      <c r="DS59" s="89"/>
      <c r="DT59" s="89"/>
      <c r="DU59" s="89"/>
      <c r="DV59" s="89"/>
      <c r="DW59" s="89"/>
    </row>
    <row r="60" spans="1:127" ht="30" customHeight="1" thickBot="1" x14ac:dyDescent="0.4">
      <c r="B60" s="74" t="s">
        <v>61</v>
      </c>
      <c r="C60" s="75" t="s">
        <v>39</v>
      </c>
      <c r="D60" s="77"/>
      <c r="E60" s="76">
        <v>46219</v>
      </c>
      <c r="F60" s="76">
        <v>46226</v>
      </c>
      <c r="G60" s="88"/>
      <c r="H60" s="88">
        <f t="shared" si="45"/>
        <v>8</v>
      </c>
      <c r="I60" s="89"/>
      <c r="J60" s="89"/>
      <c r="K60" s="89"/>
      <c r="L60" s="89"/>
      <c r="M60" s="89"/>
      <c r="N60" s="89"/>
      <c r="O60" s="89"/>
      <c r="P60" s="89"/>
      <c r="Q60" s="89"/>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c r="AP60" s="89"/>
      <c r="AQ60" s="89"/>
      <c r="AR60" s="89"/>
      <c r="AS60" s="89"/>
      <c r="AT60" s="89"/>
      <c r="AU60" s="89"/>
      <c r="AV60" s="89"/>
      <c r="AW60" s="89"/>
      <c r="AX60" s="89"/>
      <c r="AY60" s="89"/>
      <c r="AZ60" s="89"/>
      <c r="BA60" s="89"/>
      <c r="BB60" s="89"/>
      <c r="BC60" s="89"/>
      <c r="BD60" s="89"/>
      <c r="BE60" s="89"/>
      <c r="BF60" s="89"/>
      <c r="BG60" s="89"/>
      <c r="BH60" s="89"/>
      <c r="BI60" s="89"/>
      <c r="BJ60" s="89"/>
      <c r="BK60" s="89"/>
      <c r="BL60" s="89"/>
      <c r="BM60" s="89"/>
      <c r="BN60" s="89"/>
      <c r="BO60" s="89"/>
      <c r="BP60" s="89"/>
      <c r="BQ60" s="89"/>
      <c r="BR60" s="89"/>
      <c r="BS60" s="89"/>
      <c r="BT60" s="89"/>
      <c r="BU60" s="89"/>
      <c r="BV60" s="89"/>
      <c r="BW60" s="89"/>
      <c r="BX60" s="89"/>
      <c r="BY60" s="89"/>
      <c r="BZ60" s="89"/>
      <c r="CA60" s="89"/>
      <c r="CB60" s="89"/>
      <c r="CC60" s="89"/>
      <c r="CD60" s="89"/>
      <c r="CE60" s="89"/>
      <c r="CF60" s="89"/>
      <c r="CG60" s="89"/>
      <c r="CH60" s="89"/>
      <c r="CI60" s="89"/>
      <c r="CJ60" s="89"/>
      <c r="CK60" s="89"/>
      <c r="CL60" s="89"/>
      <c r="CM60" s="89"/>
      <c r="CN60" s="89"/>
      <c r="CO60" s="89"/>
      <c r="CP60" s="89"/>
      <c r="CQ60" s="89"/>
      <c r="CR60" s="89"/>
      <c r="CS60" s="89"/>
      <c r="CT60" s="89"/>
      <c r="CU60" s="89"/>
      <c r="CV60" s="89"/>
      <c r="CW60" s="89"/>
      <c r="CX60" s="89"/>
      <c r="CY60" s="89"/>
      <c r="CZ60" s="89"/>
      <c r="DA60" s="89"/>
      <c r="DB60" s="89"/>
      <c r="DC60" s="89"/>
      <c r="DD60" s="89"/>
      <c r="DE60" s="89"/>
      <c r="DF60" s="89"/>
      <c r="DG60" s="89"/>
      <c r="DH60" s="89"/>
      <c r="DI60" s="89"/>
      <c r="DJ60" s="89"/>
      <c r="DK60" s="89"/>
      <c r="DL60" s="89"/>
      <c r="DM60" s="89"/>
      <c r="DN60" s="89"/>
      <c r="DO60" s="89"/>
      <c r="DP60" s="89"/>
      <c r="DQ60" s="89"/>
      <c r="DR60" s="89"/>
      <c r="DS60" s="89"/>
      <c r="DT60" s="89"/>
      <c r="DU60" s="89"/>
      <c r="DV60" s="89"/>
      <c r="DW60" s="89"/>
    </row>
    <row r="61" spans="1:127" ht="30" customHeight="1" thickBot="1" x14ac:dyDescent="0.4">
      <c r="B61" s="74" t="s">
        <v>129</v>
      </c>
      <c r="C61" s="75"/>
      <c r="D61" s="77"/>
      <c r="E61" s="76">
        <v>46216</v>
      </c>
      <c r="F61" s="76">
        <v>46221</v>
      </c>
      <c r="G61" s="88"/>
      <c r="H61" s="88"/>
      <c r="I61" s="89"/>
      <c r="J61" s="89"/>
      <c r="K61" s="89"/>
      <c r="L61" s="89"/>
      <c r="M61" s="89"/>
      <c r="N61" s="89"/>
      <c r="O61" s="89"/>
      <c r="P61" s="89"/>
      <c r="Q61" s="89"/>
      <c r="R61" s="89"/>
      <c r="S61" s="89"/>
      <c r="T61" s="89"/>
      <c r="U61" s="89"/>
      <c r="V61" s="89"/>
      <c r="W61" s="89"/>
      <c r="X61" s="89"/>
      <c r="Y61" s="89"/>
      <c r="Z61" s="89"/>
      <c r="AA61" s="89"/>
      <c r="AB61" s="89"/>
      <c r="AC61" s="89"/>
      <c r="AD61" s="89"/>
      <c r="AE61" s="89"/>
      <c r="AF61" s="89"/>
      <c r="AG61" s="89"/>
      <c r="AH61" s="89"/>
      <c r="AI61" s="89"/>
      <c r="AJ61" s="89"/>
      <c r="AK61" s="89"/>
      <c r="AL61" s="89"/>
      <c r="AM61" s="89"/>
      <c r="AN61" s="89"/>
      <c r="AO61" s="89"/>
      <c r="AP61" s="89"/>
      <c r="AQ61" s="89"/>
      <c r="AR61" s="89"/>
      <c r="AS61" s="89"/>
      <c r="AT61" s="89"/>
      <c r="AU61" s="89"/>
      <c r="AV61" s="89"/>
      <c r="AW61" s="89"/>
      <c r="AX61" s="89"/>
      <c r="AY61" s="89"/>
      <c r="AZ61" s="89"/>
      <c r="BA61" s="89"/>
      <c r="BB61" s="89"/>
      <c r="BC61" s="89"/>
      <c r="BD61" s="89"/>
      <c r="BE61" s="89"/>
      <c r="BF61" s="89"/>
      <c r="BG61" s="89"/>
      <c r="BH61" s="89"/>
      <c r="BI61" s="89"/>
      <c r="BJ61" s="89"/>
      <c r="BK61" s="89"/>
      <c r="BL61" s="89"/>
      <c r="BM61" s="89"/>
      <c r="BN61" s="89"/>
      <c r="BO61" s="89"/>
      <c r="BP61" s="89"/>
      <c r="BQ61" s="89"/>
      <c r="BR61" s="89"/>
      <c r="BS61" s="89"/>
      <c r="BT61" s="89"/>
      <c r="BU61" s="89"/>
      <c r="BV61" s="89"/>
      <c r="BW61" s="89"/>
      <c r="BX61" s="89"/>
      <c r="BY61" s="89"/>
      <c r="BZ61" s="89"/>
      <c r="CA61" s="89"/>
      <c r="CB61" s="89"/>
      <c r="CC61" s="89"/>
      <c r="CD61" s="89"/>
      <c r="CE61" s="89"/>
      <c r="CF61" s="89"/>
      <c r="CG61" s="89"/>
      <c r="CH61" s="89"/>
      <c r="CI61" s="89"/>
      <c r="CJ61" s="89"/>
      <c r="CK61" s="89"/>
      <c r="CL61" s="89"/>
      <c r="CM61" s="89"/>
      <c r="CN61" s="89"/>
      <c r="CO61" s="89"/>
      <c r="CP61" s="89"/>
      <c r="CQ61" s="89"/>
      <c r="CR61" s="89"/>
      <c r="CS61" s="89"/>
      <c r="CT61" s="89"/>
      <c r="CU61" s="89"/>
      <c r="CV61" s="89"/>
      <c r="CW61" s="89"/>
      <c r="CX61" s="89"/>
      <c r="CY61" s="89"/>
      <c r="CZ61" s="89"/>
      <c r="DA61" s="89"/>
      <c r="DB61" s="89"/>
      <c r="DC61" s="89"/>
      <c r="DD61" s="89"/>
      <c r="DE61" s="89"/>
      <c r="DF61" s="89"/>
      <c r="DG61" s="89"/>
      <c r="DH61" s="89"/>
      <c r="DI61" s="89"/>
      <c r="DJ61" s="89"/>
      <c r="DK61" s="89"/>
      <c r="DL61" s="89"/>
      <c r="DM61" s="89"/>
      <c r="DN61" s="89"/>
      <c r="DO61" s="89"/>
      <c r="DP61" s="89"/>
      <c r="DQ61" s="89"/>
      <c r="DR61" s="89"/>
      <c r="DS61" s="89"/>
      <c r="DT61" s="89"/>
      <c r="DU61" s="89"/>
      <c r="DV61" s="89"/>
      <c r="DW61" s="89"/>
    </row>
    <row r="62" spans="1:127" ht="30" customHeight="1" thickBot="1" x14ac:dyDescent="0.4">
      <c r="B62" s="74" t="s">
        <v>130</v>
      </c>
      <c r="C62" s="75"/>
      <c r="D62" s="77"/>
      <c r="E62" s="76">
        <v>46216</v>
      </c>
      <c r="F62" s="76">
        <v>46221</v>
      </c>
      <c r="G62" s="88"/>
      <c r="H62" s="88"/>
      <c r="I62" s="89"/>
      <c r="J62" s="89"/>
      <c r="K62" s="89"/>
      <c r="L62" s="89"/>
      <c r="M62" s="89"/>
      <c r="N62" s="89"/>
      <c r="O62" s="89"/>
      <c r="P62" s="89"/>
      <c r="Q62" s="89"/>
      <c r="R62" s="89"/>
      <c r="S62" s="89"/>
      <c r="T62" s="89"/>
      <c r="U62" s="89"/>
      <c r="V62" s="89"/>
      <c r="W62" s="89"/>
      <c r="X62" s="89"/>
      <c r="Y62" s="89"/>
      <c r="Z62" s="89"/>
      <c r="AA62" s="89"/>
      <c r="AB62" s="89"/>
      <c r="AC62" s="89"/>
      <c r="AD62" s="89"/>
      <c r="AE62" s="89"/>
      <c r="AF62" s="89"/>
      <c r="AG62" s="89"/>
      <c r="AH62" s="89"/>
      <c r="AI62" s="89"/>
      <c r="AJ62" s="89"/>
      <c r="AK62" s="89"/>
      <c r="AL62" s="89"/>
      <c r="AM62" s="89"/>
      <c r="AN62" s="89"/>
      <c r="AO62" s="89"/>
      <c r="AP62" s="89"/>
      <c r="AQ62" s="89"/>
      <c r="AR62" s="89"/>
      <c r="AS62" s="89"/>
      <c r="AT62" s="89"/>
      <c r="AU62" s="89"/>
      <c r="AV62" s="89"/>
      <c r="AW62" s="89"/>
      <c r="AX62" s="89"/>
      <c r="AY62" s="89"/>
      <c r="AZ62" s="89"/>
      <c r="BA62" s="89"/>
      <c r="BB62" s="89"/>
      <c r="BC62" s="89"/>
      <c r="BD62" s="89"/>
      <c r="BE62" s="89"/>
      <c r="BF62" s="89"/>
      <c r="BG62" s="89"/>
      <c r="BH62" s="89"/>
      <c r="BI62" s="89"/>
      <c r="BJ62" s="89"/>
      <c r="BK62" s="89"/>
      <c r="BL62" s="89"/>
      <c r="BM62" s="89"/>
      <c r="BN62" s="89"/>
      <c r="BO62" s="89"/>
      <c r="BP62" s="89"/>
      <c r="BQ62" s="89"/>
      <c r="BR62" s="89"/>
      <c r="BS62" s="89"/>
      <c r="BT62" s="89"/>
      <c r="BU62" s="89"/>
      <c r="BV62" s="89"/>
      <c r="BW62" s="89"/>
      <c r="BX62" s="89"/>
      <c r="BY62" s="89"/>
      <c r="BZ62" s="89"/>
      <c r="CA62" s="89"/>
      <c r="CB62" s="89"/>
      <c r="CC62" s="89"/>
      <c r="CD62" s="89"/>
      <c r="CE62" s="89"/>
      <c r="CF62" s="89"/>
      <c r="CG62" s="89"/>
      <c r="CH62" s="89"/>
      <c r="CI62" s="89"/>
      <c r="CJ62" s="89"/>
      <c r="CK62" s="89"/>
      <c r="CL62" s="89"/>
      <c r="CM62" s="89"/>
      <c r="CN62" s="89"/>
      <c r="CO62" s="89"/>
      <c r="CP62" s="89"/>
      <c r="CQ62" s="89"/>
      <c r="CR62" s="89"/>
      <c r="CS62" s="89"/>
      <c r="CT62" s="89"/>
      <c r="CU62" s="89"/>
      <c r="CV62" s="89"/>
      <c r="CW62" s="89"/>
      <c r="CX62" s="89"/>
      <c r="CY62" s="89"/>
      <c r="CZ62" s="89"/>
      <c r="DA62" s="89"/>
      <c r="DB62" s="89"/>
      <c r="DC62" s="89"/>
      <c r="DD62" s="89"/>
      <c r="DE62" s="89"/>
      <c r="DF62" s="89"/>
      <c r="DG62" s="89"/>
      <c r="DH62" s="89"/>
      <c r="DI62" s="89"/>
      <c r="DJ62" s="89"/>
      <c r="DK62" s="89"/>
      <c r="DL62" s="89"/>
      <c r="DM62" s="89"/>
      <c r="DN62" s="89"/>
      <c r="DO62" s="89"/>
      <c r="DP62" s="89"/>
      <c r="DQ62" s="89"/>
      <c r="DR62" s="89"/>
      <c r="DS62" s="89"/>
      <c r="DT62" s="89"/>
      <c r="DU62" s="89"/>
      <c r="DV62" s="89"/>
      <c r="DW62" s="89"/>
    </row>
    <row r="63" spans="1:127" ht="30" customHeight="1" thickBot="1" x14ac:dyDescent="0.4">
      <c r="B63" s="74" t="s">
        <v>131</v>
      </c>
      <c r="C63" s="75"/>
      <c r="D63" s="77"/>
      <c r="E63" s="76">
        <v>46216</v>
      </c>
      <c r="F63" s="76">
        <v>46221</v>
      </c>
      <c r="G63" s="88"/>
      <c r="H63" s="88"/>
      <c r="I63" s="89"/>
      <c r="J63" s="89"/>
      <c r="K63" s="89"/>
      <c r="L63" s="89"/>
      <c r="M63" s="89"/>
      <c r="N63" s="89"/>
      <c r="O63" s="89"/>
      <c r="P63" s="89"/>
      <c r="Q63" s="89"/>
      <c r="R63" s="89"/>
      <c r="S63" s="89"/>
      <c r="T63" s="89"/>
      <c r="U63" s="89"/>
      <c r="V63" s="89"/>
      <c r="W63" s="89"/>
      <c r="X63" s="89"/>
      <c r="Y63" s="89"/>
      <c r="Z63" s="89"/>
      <c r="AA63" s="89"/>
      <c r="AB63" s="89"/>
      <c r="AC63" s="89"/>
      <c r="AD63" s="89"/>
      <c r="AE63" s="89"/>
      <c r="AF63" s="89"/>
      <c r="AG63" s="89"/>
      <c r="AH63" s="89"/>
      <c r="AI63" s="89"/>
      <c r="AJ63" s="89"/>
      <c r="AK63" s="89"/>
      <c r="AL63" s="89"/>
      <c r="AM63" s="89"/>
      <c r="AN63" s="89"/>
      <c r="AO63" s="89"/>
      <c r="AP63" s="89"/>
      <c r="AQ63" s="89"/>
      <c r="AR63" s="89"/>
      <c r="AS63" s="89"/>
      <c r="AT63" s="89"/>
      <c r="AU63" s="89"/>
      <c r="AV63" s="89"/>
      <c r="AW63" s="89"/>
      <c r="AX63" s="89"/>
      <c r="AY63" s="89"/>
      <c r="AZ63" s="89"/>
      <c r="BA63" s="89"/>
      <c r="BB63" s="89"/>
      <c r="BC63" s="89"/>
      <c r="BD63" s="89"/>
      <c r="BE63" s="89"/>
      <c r="BF63" s="89"/>
      <c r="BG63" s="89"/>
      <c r="BH63" s="89"/>
      <c r="BI63" s="89"/>
      <c r="BJ63" s="89"/>
      <c r="BK63" s="89"/>
      <c r="BL63" s="89"/>
      <c r="BM63" s="89"/>
      <c r="BN63" s="89"/>
      <c r="BO63" s="89"/>
      <c r="BP63" s="89"/>
      <c r="BQ63" s="89"/>
      <c r="BR63" s="89"/>
      <c r="BS63" s="89"/>
      <c r="BT63" s="89"/>
      <c r="BU63" s="89"/>
      <c r="BV63" s="89"/>
      <c r="BW63" s="89"/>
      <c r="BX63" s="89"/>
      <c r="BY63" s="89"/>
      <c r="BZ63" s="89"/>
      <c r="CA63" s="89"/>
      <c r="CB63" s="89"/>
      <c r="CC63" s="89"/>
      <c r="CD63" s="89"/>
      <c r="CE63" s="89"/>
      <c r="CF63" s="89"/>
      <c r="CG63" s="89"/>
      <c r="CH63" s="89"/>
      <c r="CI63" s="89"/>
      <c r="CJ63" s="89"/>
      <c r="CK63" s="89"/>
      <c r="CL63" s="89"/>
      <c r="CM63" s="89"/>
      <c r="CN63" s="89"/>
      <c r="CO63" s="89"/>
      <c r="CP63" s="89"/>
      <c r="CQ63" s="89"/>
      <c r="CR63" s="89"/>
      <c r="CS63" s="89"/>
      <c r="CT63" s="89"/>
      <c r="CU63" s="89"/>
      <c r="CV63" s="89"/>
      <c r="CW63" s="89"/>
      <c r="CX63" s="89"/>
      <c r="CY63" s="89"/>
      <c r="CZ63" s="89"/>
      <c r="DA63" s="89"/>
      <c r="DB63" s="89"/>
      <c r="DC63" s="89"/>
      <c r="DD63" s="89"/>
      <c r="DE63" s="89"/>
      <c r="DF63" s="89"/>
      <c r="DG63" s="89"/>
      <c r="DH63" s="89"/>
      <c r="DI63" s="89"/>
      <c r="DJ63" s="89"/>
      <c r="DK63" s="89"/>
      <c r="DL63" s="89"/>
      <c r="DM63" s="89"/>
      <c r="DN63" s="89"/>
      <c r="DO63" s="89"/>
      <c r="DP63" s="89"/>
      <c r="DQ63" s="89"/>
      <c r="DR63" s="89"/>
      <c r="DS63" s="89"/>
      <c r="DT63" s="89"/>
      <c r="DU63" s="89"/>
      <c r="DV63" s="89"/>
      <c r="DW63" s="89"/>
    </row>
    <row r="64" spans="1:127" ht="30" customHeight="1" thickBot="1" x14ac:dyDescent="0.4">
      <c r="B64" s="85" t="s">
        <v>132</v>
      </c>
      <c r="C64" s="72"/>
      <c r="D64" s="73"/>
      <c r="E64" s="86"/>
      <c r="F64" s="87"/>
      <c r="G64" s="88"/>
      <c r="H64" s="88" t="str">
        <f t="shared" si="45"/>
        <v/>
      </c>
      <c r="I64" s="89"/>
      <c r="J64" s="89"/>
      <c r="K64" s="89"/>
      <c r="L64" s="89"/>
      <c r="M64" s="89"/>
      <c r="N64" s="89"/>
      <c r="O64" s="89"/>
      <c r="P64" s="89"/>
      <c r="Q64" s="89"/>
      <c r="R64" s="89"/>
      <c r="S64" s="89"/>
      <c r="T64" s="89"/>
      <c r="U64" s="89"/>
      <c r="V64" s="89"/>
      <c r="W64" s="89"/>
      <c r="X64" s="89"/>
      <c r="Y64" s="89"/>
      <c r="Z64" s="89"/>
      <c r="AA64" s="89"/>
      <c r="AB64" s="89"/>
      <c r="AC64" s="89"/>
      <c r="AD64" s="89"/>
      <c r="AE64" s="89"/>
      <c r="AF64" s="89"/>
      <c r="AG64" s="89"/>
      <c r="AH64" s="89"/>
      <c r="AI64" s="89"/>
      <c r="AJ64" s="89"/>
      <c r="AK64" s="89"/>
      <c r="AL64" s="89"/>
      <c r="AM64" s="89"/>
      <c r="AN64" s="89"/>
      <c r="AO64" s="89"/>
      <c r="AP64" s="89"/>
      <c r="AQ64" s="89"/>
      <c r="AR64" s="89"/>
      <c r="AS64" s="89"/>
      <c r="AT64" s="89"/>
      <c r="AU64" s="89"/>
      <c r="AV64" s="89"/>
      <c r="AW64" s="89"/>
      <c r="AX64" s="89"/>
      <c r="AY64" s="89"/>
      <c r="AZ64" s="89"/>
      <c r="BA64" s="89"/>
      <c r="BB64" s="89"/>
      <c r="BC64" s="89"/>
      <c r="BD64" s="89"/>
      <c r="BE64" s="89"/>
      <c r="BF64" s="89"/>
      <c r="BG64" s="89"/>
      <c r="BH64" s="89"/>
      <c r="BI64" s="89"/>
      <c r="BJ64" s="89"/>
      <c r="BK64" s="89"/>
      <c r="BL64" s="89"/>
      <c r="BM64" s="89"/>
      <c r="BN64" s="89"/>
      <c r="BO64" s="89"/>
      <c r="BP64" s="89"/>
      <c r="BQ64" s="89"/>
      <c r="BR64" s="89"/>
      <c r="BS64" s="89"/>
      <c r="BT64" s="89"/>
      <c r="BU64" s="89"/>
      <c r="BV64" s="89"/>
      <c r="BW64" s="89"/>
      <c r="BX64" s="89"/>
      <c r="BY64" s="89"/>
      <c r="BZ64" s="89"/>
      <c r="CA64" s="89"/>
      <c r="CB64" s="89"/>
      <c r="CC64" s="89"/>
      <c r="CD64" s="89"/>
      <c r="CE64" s="89"/>
      <c r="CF64" s="89"/>
      <c r="CG64" s="89"/>
      <c r="CH64" s="89"/>
      <c r="CI64" s="89"/>
      <c r="CJ64" s="89"/>
      <c r="CK64" s="89"/>
      <c r="CL64" s="89"/>
      <c r="CM64" s="89"/>
      <c r="CN64" s="89"/>
      <c r="CO64" s="89"/>
      <c r="CP64" s="89"/>
      <c r="CQ64" s="89"/>
      <c r="CR64" s="89"/>
      <c r="CS64" s="89"/>
      <c r="CT64" s="89"/>
      <c r="CU64" s="89"/>
      <c r="CV64" s="89"/>
      <c r="CW64" s="89"/>
      <c r="CX64" s="89"/>
      <c r="CY64" s="89"/>
      <c r="CZ64" s="89"/>
      <c r="DA64" s="89"/>
      <c r="DB64" s="89"/>
      <c r="DC64" s="89"/>
      <c r="DD64" s="89"/>
      <c r="DE64" s="89"/>
      <c r="DF64" s="89"/>
      <c r="DG64" s="89"/>
      <c r="DH64" s="89"/>
      <c r="DI64" s="89"/>
      <c r="DJ64" s="89"/>
      <c r="DK64" s="89"/>
      <c r="DL64" s="89"/>
      <c r="DM64" s="89"/>
      <c r="DN64" s="89"/>
      <c r="DO64" s="89"/>
      <c r="DP64" s="89"/>
      <c r="DQ64" s="89"/>
      <c r="DR64" s="89"/>
      <c r="DS64" s="89"/>
      <c r="DT64" s="89"/>
      <c r="DU64" s="89"/>
      <c r="DV64" s="89"/>
      <c r="DW64" s="89"/>
    </row>
    <row r="65" spans="2:127" ht="30" customHeight="1" thickBot="1" x14ac:dyDescent="0.4">
      <c r="B65" s="81" t="s">
        <v>133</v>
      </c>
      <c r="C65" s="82" t="s">
        <v>39</v>
      </c>
      <c r="D65" s="83"/>
      <c r="E65" s="84">
        <v>46231</v>
      </c>
      <c r="F65" s="84">
        <v>46235</v>
      </c>
      <c r="G65" s="88"/>
      <c r="H65" s="88">
        <f t="shared" si="45"/>
        <v>5</v>
      </c>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89"/>
      <c r="BY65" s="89"/>
      <c r="BZ65" s="89"/>
      <c r="CA65" s="89"/>
      <c r="CB65" s="89"/>
      <c r="CC65" s="89"/>
      <c r="CD65" s="89"/>
      <c r="CE65" s="89"/>
      <c r="CF65" s="89"/>
      <c r="CG65" s="89"/>
      <c r="CH65" s="89"/>
      <c r="CI65" s="89"/>
      <c r="CJ65" s="89"/>
      <c r="CK65" s="89"/>
      <c r="CL65" s="89"/>
      <c r="CM65" s="89"/>
      <c r="CN65" s="89"/>
      <c r="CO65" s="89"/>
      <c r="CP65" s="89"/>
      <c r="CQ65" s="89"/>
      <c r="CR65" s="89"/>
      <c r="CS65" s="89"/>
      <c r="CT65" s="89"/>
      <c r="CU65" s="89"/>
      <c r="CV65" s="89"/>
      <c r="CW65" s="89"/>
      <c r="CX65" s="89"/>
      <c r="CY65" s="89"/>
      <c r="CZ65" s="89"/>
      <c r="DA65" s="89"/>
      <c r="DB65" s="89"/>
      <c r="DC65" s="89"/>
      <c r="DD65" s="89"/>
      <c r="DE65" s="89"/>
      <c r="DF65" s="89"/>
      <c r="DG65" s="89"/>
      <c r="DH65" s="89"/>
      <c r="DI65" s="89"/>
      <c r="DJ65" s="89"/>
      <c r="DK65" s="89"/>
      <c r="DL65" s="89"/>
      <c r="DM65" s="89"/>
      <c r="DN65" s="89"/>
      <c r="DO65" s="89"/>
      <c r="DP65" s="89"/>
      <c r="DQ65" s="89"/>
      <c r="DR65" s="89"/>
      <c r="DS65" s="89"/>
      <c r="DT65" s="89"/>
      <c r="DU65" s="89"/>
      <c r="DV65" s="89"/>
      <c r="DW65" s="89"/>
    </row>
    <row r="66" spans="2:127" ht="30" customHeight="1" thickBot="1" x14ac:dyDescent="0.4">
      <c r="B66" s="81" t="s">
        <v>134</v>
      </c>
      <c r="C66" s="95" t="s">
        <v>95</v>
      </c>
      <c r="D66" s="83"/>
      <c r="E66" s="84">
        <v>46231</v>
      </c>
      <c r="F66" s="84">
        <v>46235</v>
      </c>
      <c r="G66" s="88"/>
      <c r="H66" s="88">
        <f t="shared" si="45"/>
        <v>5</v>
      </c>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c r="AR66" s="89"/>
      <c r="AS66" s="89"/>
      <c r="AT66" s="89"/>
      <c r="AU66" s="89"/>
      <c r="AV66" s="89"/>
      <c r="AW66" s="89"/>
      <c r="AX66" s="89"/>
      <c r="AY66" s="89"/>
      <c r="AZ66" s="89"/>
      <c r="BA66" s="89"/>
      <c r="BB66" s="89"/>
      <c r="BC66" s="89"/>
      <c r="BD66" s="89"/>
      <c r="BE66" s="89"/>
      <c r="BF66" s="89"/>
      <c r="BG66" s="89"/>
      <c r="BH66" s="89"/>
      <c r="BI66" s="89"/>
      <c r="BJ66" s="89"/>
      <c r="BK66" s="89"/>
      <c r="BL66" s="89"/>
      <c r="BM66" s="89"/>
      <c r="BN66" s="89"/>
      <c r="BO66" s="89"/>
      <c r="BP66" s="89"/>
      <c r="BQ66" s="89"/>
      <c r="BR66" s="89"/>
      <c r="BS66" s="89"/>
      <c r="BT66" s="89"/>
      <c r="BU66" s="89"/>
      <c r="BV66" s="89"/>
      <c r="BW66" s="89"/>
      <c r="BX66" s="89"/>
      <c r="BY66" s="89"/>
      <c r="BZ66" s="89"/>
      <c r="CA66" s="89"/>
      <c r="CB66" s="89"/>
      <c r="CC66" s="89"/>
      <c r="CD66" s="89"/>
      <c r="CE66" s="89"/>
      <c r="CF66" s="89"/>
      <c r="CG66" s="89"/>
      <c r="CH66" s="89"/>
      <c r="CI66" s="89"/>
      <c r="CJ66" s="89"/>
      <c r="CK66" s="89"/>
      <c r="CL66" s="89"/>
      <c r="CM66" s="89"/>
      <c r="CN66" s="89"/>
      <c r="CO66" s="89"/>
      <c r="CP66" s="89"/>
      <c r="CQ66" s="89"/>
      <c r="CR66" s="89"/>
      <c r="CS66" s="89"/>
      <c r="CT66" s="89"/>
      <c r="CU66" s="89"/>
      <c r="CV66" s="89"/>
      <c r="CW66" s="89"/>
      <c r="CX66" s="89"/>
      <c r="CY66" s="89"/>
      <c r="CZ66" s="89"/>
      <c r="DA66" s="89"/>
      <c r="DB66" s="89"/>
      <c r="DC66" s="89"/>
      <c r="DD66" s="89"/>
      <c r="DE66" s="89"/>
      <c r="DF66" s="89"/>
      <c r="DG66" s="89"/>
      <c r="DH66" s="89"/>
      <c r="DI66" s="89"/>
      <c r="DJ66" s="89"/>
      <c r="DK66" s="89"/>
      <c r="DL66" s="89"/>
      <c r="DM66" s="89"/>
      <c r="DN66" s="89"/>
      <c r="DO66" s="89"/>
      <c r="DP66" s="89"/>
      <c r="DQ66" s="89"/>
      <c r="DR66" s="89"/>
      <c r="DS66" s="89"/>
      <c r="DT66" s="89"/>
      <c r="DU66" s="89"/>
      <c r="DV66" s="89"/>
      <c r="DW66" s="89"/>
    </row>
    <row r="67" spans="2:127" ht="30" customHeight="1" thickBot="1" x14ac:dyDescent="0.4">
      <c r="B67" s="81" t="s">
        <v>135</v>
      </c>
      <c r="C67" s="95" t="s">
        <v>96</v>
      </c>
      <c r="D67" s="83"/>
      <c r="E67" s="84">
        <v>46231</v>
      </c>
      <c r="F67" s="84">
        <v>46235</v>
      </c>
      <c r="G67" s="88"/>
      <c r="H67" s="88">
        <f t="shared" si="45"/>
        <v>5</v>
      </c>
      <c r="I67" s="89"/>
      <c r="J67" s="89"/>
      <c r="K67" s="89"/>
      <c r="L67" s="89"/>
      <c r="M67" s="89"/>
      <c r="N67" s="89"/>
      <c r="O67" s="89"/>
      <c r="P67" s="89"/>
      <c r="Q67" s="89"/>
      <c r="R67" s="89"/>
      <c r="S67" s="89"/>
      <c r="T67" s="89"/>
      <c r="U67" s="89"/>
      <c r="V67" s="89"/>
      <c r="W67" s="89"/>
      <c r="X67" s="89"/>
      <c r="Y67" s="89"/>
      <c r="Z67" s="89"/>
      <c r="AA67" s="89"/>
      <c r="AB67" s="89"/>
      <c r="AC67" s="89"/>
      <c r="AD67" s="89"/>
      <c r="AE67" s="89"/>
      <c r="AF67" s="89"/>
      <c r="AG67" s="89"/>
      <c r="AH67" s="89"/>
      <c r="AI67" s="89"/>
      <c r="AJ67" s="89"/>
      <c r="AK67" s="89"/>
      <c r="AL67" s="89"/>
      <c r="AM67" s="89"/>
      <c r="AN67" s="89"/>
      <c r="AO67" s="89"/>
      <c r="AP67" s="89"/>
      <c r="AQ67" s="89"/>
      <c r="AR67" s="89"/>
      <c r="AS67" s="89"/>
      <c r="AT67" s="89"/>
      <c r="AU67" s="89"/>
      <c r="AV67" s="89"/>
      <c r="AW67" s="89"/>
      <c r="AX67" s="89"/>
      <c r="AY67" s="89"/>
      <c r="AZ67" s="89"/>
      <c r="BA67" s="89"/>
      <c r="BB67" s="89"/>
      <c r="BC67" s="89"/>
      <c r="BD67" s="89"/>
      <c r="BE67" s="89"/>
      <c r="BF67" s="89"/>
      <c r="BG67" s="89"/>
      <c r="BH67" s="89"/>
      <c r="BI67" s="89"/>
      <c r="BJ67" s="89"/>
      <c r="BK67" s="89"/>
      <c r="BL67" s="89"/>
      <c r="BM67" s="89"/>
      <c r="BN67" s="89"/>
      <c r="BO67" s="89"/>
      <c r="BP67" s="89"/>
      <c r="BQ67" s="89"/>
      <c r="BR67" s="89"/>
      <c r="BS67" s="89"/>
      <c r="BT67" s="89"/>
      <c r="BU67" s="89"/>
      <c r="BV67" s="89"/>
      <c r="BW67" s="89"/>
      <c r="BX67" s="89"/>
      <c r="BY67" s="89"/>
      <c r="BZ67" s="89"/>
      <c r="CA67" s="89"/>
      <c r="CB67" s="89"/>
      <c r="CC67" s="89"/>
      <c r="CD67" s="89"/>
      <c r="CE67" s="89"/>
      <c r="CF67" s="89"/>
      <c r="CG67" s="89"/>
      <c r="CH67" s="89"/>
      <c r="CI67" s="89"/>
      <c r="CJ67" s="89"/>
      <c r="CK67" s="89"/>
      <c r="CL67" s="89"/>
      <c r="CM67" s="89"/>
      <c r="CN67" s="89"/>
      <c r="CO67" s="89"/>
      <c r="CP67" s="89"/>
      <c r="CQ67" s="89"/>
      <c r="CR67" s="89"/>
      <c r="CS67" s="89"/>
      <c r="CT67" s="89"/>
      <c r="CU67" s="89"/>
      <c r="CV67" s="89"/>
      <c r="CW67" s="89"/>
      <c r="CX67" s="89"/>
      <c r="CY67" s="89"/>
      <c r="CZ67" s="89"/>
      <c r="DA67" s="89"/>
      <c r="DB67" s="89"/>
      <c r="DC67" s="89"/>
      <c r="DD67" s="89"/>
      <c r="DE67" s="89"/>
      <c r="DF67" s="89"/>
      <c r="DG67" s="89"/>
      <c r="DH67" s="89"/>
      <c r="DI67" s="89"/>
      <c r="DJ67" s="89"/>
      <c r="DK67" s="89"/>
      <c r="DL67" s="89"/>
      <c r="DM67" s="89"/>
      <c r="DN67" s="89"/>
      <c r="DO67" s="89"/>
      <c r="DP67" s="89"/>
      <c r="DQ67" s="89"/>
      <c r="DR67" s="89"/>
      <c r="DS67" s="89"/>
      <c r="DT67" s="89"/>
      <c r="DU67" s="89"/>
      <c r="DV67" s="89"/>
      <c r="DW67" s="89"/>
    </row>
    <row r="68" spans="2:127" ht="30" customHeight="1" thickBot="1" x14ac:dyDescent="0.4">
      <c r="B68" s="81" t="s">
        <v>136</v>
      </c>
      <c r="C68" s="82" t="s">
        <v>39</v>
      </c>
      <c r="D68" s="83"/>
      <c r="E68" s="84">
        <v>46231</v>
      </c>
      <c r="F68" s="84">
        <v>46235</v>
      </c>
      <c r="G68" s="88"/>
      <c r="H68" s="88"/>
      <c r="I68" s="89"/>
      <c r="J68" s="89"/>
      <c r="K68" s="89"/>
      <c r="L68" s="89"/>
      <c r="M68" s="89"/>
      <c r="N68" s="89"/>
      <c r="O68" s="89"/>
      <c r="P68" s="89"/>
      <c r="Q68" s="89"/>
      <c r="R68" s="89"/>
      <c r="S68" s="89"/>
      <c r="T68" s="89"/>
      <c r="U68" s="89"/>
      <c r="V68" s="89"/>
      <c r="W68" s="89"/>
      <c r="X68" s="89"/>
      <c r="Y68" s="89"/>
      <c r="Z68" s="89"/>
      <c r="AA68" s="89"/>
      <c r="AB68" s="89"/>
      <c r="AC68" s="89"/>
      <c r="AD68" s="89"/>
      <c r="AE68" s="89"/>
      <c r="AF68" s="89"/>
      <c r="AG68" s="89"/>
      <c r="AH68" s="89"/>
      <c r="AI68" s="89"/>
      <c r="AJ68" s="89"/>
      <c r="AK68" s="89"/>
      <c r="AL68" s="89"/>
      <c r="AM68" s="89"/>
      <c r="AN68" s="89"/>
      <c r="AO68" s="89"/>
      <c r="AP68" s="89"/>
      <c r="AQ68" s="89"/>
      <c r="AR68" s="89"/>
      <c r="AS68" s="89"/>
      <c r="AT68" s="89"/>
      <c r="AU68" s="89"/>
      <c r="AV68" s="89"/>
      <c r="AW68" s="89"/>
      <c r="AX68" s="89"/>
      <c r="AY68" s="89"/>
      <c r="AZ68" s="89"/>
      <c r="BA68" s="89"/>
      <c r="BB68" s="89"/>
      <c r="BC68" s="89"/>
      <c r="BD68" s="89"/>
      <c r="BE68" s="89"/>
      <c r="BF68" s="89"/>
      <c r="BG68" s="89"/>
      <c r="BH68" s="89"/>
      <c r="BI68" s="89"/>
      <c r="BJ68" s="89"/>
      <c r="BK68" s="89"/>
      <c r="BL68" s="89"/>
      <c r="BM68" s="89"/>
      <c r="BN68" s="89"/>
      <c r="BO68" s="89"/>
      <c r="BP68" s="89"/>
      <c r="BQ68" s="89"/>
      <c r="BR68" s="89"/>
      <c r="BS68" s="89"/>
      <c r="BT68" s="89"/>
      <c r="BU68" s="89"/>
      <c r="BV68" s="89"/>
      <c r="BW68" s="89"/>
      <c r="BX68" s="89"/>
      <c r="BY68" s="89"/>
      <c r="BZ68" s="89"/>
      <c r="CA68" s="89"/>
      <c r="CB68" s="89"/>
      <c r="CC68" s="89"/>
      <c r="CD68" s="89"/>
      <c r="CE68" s="89"/>
      <c r="CF68" s="89"/>
      <c r="CG68" s="89"/>
      <c r="CH68" s="89"/>
      <c r="CI68" s="89"/>
      <c r="CJ68" s="89"/>
      <c r="CK68" s="89"/>
      <c r="CL68" s="89"/>
      <c r="CM68" s="89"/>
      <c r="CN68" s="89"/>
      <c r="CO68" s="89"/>
      <c r="CP68" s="89"/>
      <c r="CQ68" s="89"/>
      <c r="CR68" s="89"/>
      <c r="CS68" s="89"/>
      <c r="CT68" s="89"/>
      <c r="CU68" s="89"/>
      <c r="CV68" s="89"/>
      <c r="CW68" s="89"/>
      <c r="CX68" s="89"/>
      <c r="CY68" s="89"/>
      <c r="CZ68" s="89"/>
      <c r="DA68" s="89"/>
      <c r="DB68" s="89"/>
      <c r="DC68" s="89"/>
      <c r="DD68" s="89"/>
      <c r="DE68" s="89"/>
      <c r="DF68" s="89"/>
      <c r="DG68" s="89"/>
      <c r="DH68" s="89"/>
      <c r="DI68" s="89"/>
      <c r="DJ68" s="89"/>
      <c r="DK68" s="89"/>
      <c r="DL68" s="89"/>
      <c r="DM68" s="89"/>
      <c r="DN68" s="89"/>
      <c r="DO68" s="89"/>
      <c r="DP68" s="89"/>
      <c r="DQ68" s="89"/>
      <c r="DR68" s="89"/>
      <c r="DS68" s="89"/>
      <c r="DT68" s="89"/>
      <c r="DU68" s="89"/>
      <c r="DV68" s="89"/>
      <c r="DW68" s="89"/>
    </row>
    <row r="69" spans="2:127" ht="30" customHeight="1" thickBot="1" x14ac:dyDescent="0.4">
      <c r="B69" s="81" t="s">
        <v>87</v>
      </c>
      <c r="C69" s="82" t="s">
        <v>39</v>
      </c>
      <c r="D69" s="83"/>
      <c r="E69" s="84">
        <v>46231</v>
      </c>
      <c r="F69" s="84">
        <v>46235</v>
      </c>
      <c r="G69" s="88"/>
      <c r="H69" s="88">
        <f t="shared" si="45"/>
        <v>5</v>
      </c>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89"/>
      <c r="AH69" s="89"/>
      <c r="AI69" s="89"/>
      <c r="AJ69" s="89"/>
      <c r="AK69" s="89"/>
      <c r="AL69" s="89"/>
      <c r="AM69" s="89"/>
      <c r="AN69" s="89"/>
      <c r="AO69" s="89"/>
      <c r="AP69" s="89"/>
      <c r="AQ69" s="89"/>
      <c r="AR69" s="89"/>
      <c r="AS69" s="89"/>
      <c r="AT69" s="89"/>
      <c r="AU69" s="89"/>
      <c r="AV69" s="89"/>
      <c r="AW69" s="89"/>
      <c r="AX69" s="89"/>
      <c r="AY69" s="89"/>
      <c r="AZ69" s="89"/>
      <c r="BA69" s="89"/>
      <c r="BB69" s="89"/>
      <c r="BC69" s="89"/>
      <c r="BD69" s="89"/>
      <c r="BE69" s="89"/>
      <c r="BF69" s="89"/>
      <c r="BG69" s="89"/>
      <c r="BH69" s="89"/>
      <c r="BI69" s="89"/>
      <c r="BJ69" s="89"/>
      <c r="BK69" s="89"/>
      <c r="BL69" s="89"/>
      <c r="BM69" s="89"/>
      <c r="BN69" s="89"/>
      <c r="BO69" s="89"/>
      <c r="BP69" s="89"/>
      <c r="BQ69" s="89"/>
      <c r="BR69" s="89"/>
      <c r="BS69" s="89"/>
      <c r="BT69" s="89"/>
      <c r="BU69" s="89"/>
      <c r="BV69" s="89"/>
      <c r="BW69" s="89"/>
      <c r="BX69" s="89"/>
      <c r="BY69" s="89"/>
      <c r="BZ69" s="89"/>
      <c r="CA69" s="89"/>
      <c r="CB69" s="89"/>
      <c r="CC69" s="89"/>
      <c r="CD69" s="89"/>
      <c r="CE69" s="89"/>
      <c r="CF69" s="89"/>
      <c r="CG69" s="89"/>
      <c r="CH69" s="89"/>
      <c r="CI69" s="89"/>
      <c r="CJ69" s="89"/>
      <c r="CK69" s="89"/>
      <c r="CL69" s="89"/>
      <c r="CM69" s="89"/>
      <c r="CN69" s="89"/>
      <c r="CO69" s="89"/>
      <c r="CP69" s="89"/>
      <c r="CQ69" s="89"/>
      <c r="CR69" s="89"/>
      <c r="CS69" s="89"/>
      <c r="CT69" s="89"/>
      <c r="CU69" s="89"/>
      <c r="CV69" s="89"/>
      <c r="CW69" s="89"/>
      <c r="CX69" s="89"/>
      <c r="CY69" s="89"/>
      <c r="CZ69" s="89"/>
      <c r="DA69" s="89"/>
      <c r="DB69" s="89"/>
      <c r="DC69" s="89"/>
      <c r="DD69" s="89"/>
      <c r="DE69" s="89"/>
      <c r="DF69" s="89"/>
      <c r="DG69" s="89"/>
      <c r="DH69" s="89"/>
      <c r="DI69" s="89"/>
      <c r="DJ69" s="89"/>
      <c r="DK69" s="89"/>
      <c r="DL69" s="89"/>
      <c r="DM69" s="89"/>
      <c r="DN69" s="89"/>
      <c r="DO69" s="89"/>
      <c r="DP69" s="89"/>
      <c r="DQ69" s="89"/>
      <c r="DR69" s="89"/>
      <c r="DS69" s="89"/>
      <c r="DT69" s="89"/>
      <c r="DU69" s="89"/>
      <c r="DV69" s="89"/>
      <c r="DW69" s="89"/>
    </row>
    <row r="70" spans="2:127" ht="30" customHeight="1" thickBot="1" x14ac:dyDescent="0.4">
      <c r="B70" s="81" t="s">
        <v>137</v>
      </c>
      <c r="C70" s="82"/>
      <c r="D70" s="97"/>
      <c r="E70" s="84">
        <v>46238</v>
      </c>
      <c r="F70" s="84">
        <v>46256</v>
      </c>
      <c r="G70" s="88"/>
      <c r="H70" s="88"/>
      <c r="I70" s="89"/>
      <c r="J70" s="89"/>
      <c r="K70" s="89"/>
      <c r="L70" s="89"/>
      <c r="M70" s="89"/>
      <c r="N70" s="89"/>
      <c r="O70" s="89"/>
      <c r="P70" s="89"/>
      <c r="Q70" s="89"/>
      <c r="R70" s="89"/>
      <c r="S70" s="89"/>
      <c r="T70" s="89"/>
      <c r="U70" s="89"/>
      <c r="V70" s="89"/>
      <c r="W70" s="89"/>
      <c r="X70" s="89"/>
      <c r="Y70" s="89"/>
      <c r="Z70" s="89"/>
      <c r="AA70" s="89"/>
      <c r="AB70" s="89"/>
      <c r="AC70" s="89"/>
      <c r="AD70" s="89"/>
      <c r="AE70" s="89"/>
      <c r="AF70" s="89"/>
      <c r="AG70" s="89"/>
      <c r="AH70" s="89"/>
      <c r="AI70" s="89"/>
      <c r="AJ70" s="89"/>
      <c r="AK70" s="89"/>
      <c r="AL70" s="89"/>
      <c r="AM70" s="89"/>
      <c r="AN70" s="89"/>
      <c r="AO70" s="89"/>
      <c r="AP70" s="89"/>
      <c r="AQ70" s="89"/>
      <c r="AR70" s="89"/>
      <c r="AS70" s="89"/>
      <c r="AT70" s="89"/>
      <c r="AU70" s="89"/>
      <c r="AV70" s="89"/>
      <c r="AW70" s="89"/>
      <c r="AX70" s="89"/>
      <c r="AY70" s="89"/>
      <c r="AZ70" s="89"/>
      <c r="BA70" s="89"/>
      <c r="BB70" s="89"/>
      <c r="BC70" s="89"/>
      <c r="BD70" s="89"/>
      <c r="BE70" s="89"/>
      <c r="BF70" s="89"/>
      <c r="BG70" s="89"/>
      <c r="BH70" s="89"/>
      <c r="BI70" s="89"/>
      <c r="BJ70" s="89"/>
      <c r="BK70" s="89"/>
      <c r="BL70" s="89"/>
      <c r="BM70" s="89"/>
      <c r="BN70" s="89"/>
      <c r="BO70" s="89"/>
      <c r="BP70" s="89"/>
      <c r="BQ70" s="89"/>
      <c r="BR70" s="89"/>
      <c r="BS70" s="89"/>
      <c r="BT70" s="89"/>
      <c r="BU70" s="89"/>
      <c r="BV70" s="89"/>
      <c r="BW70" s="89"/>
      <c r="BX70" s="89"/>
      <c r="BY70" s="89"/>
      <c r="BZ70" s="89"/>
      <c r="CA70" s="89"/>
      <c r="CB70" s="89"/>
      <c r="CC70" s="89"/>
      <c r="CD70" s="89"/>
      <c r="CE70" s="89"/>
      <c r="CF70" s="89"/>
      <c r="CG70" s="89"/>
      <c r="CH70" s="89"/>
      <c r="CI70" s="89"/>
      <c r="CJ70" s="89"/>
      <c r="CK70" s="89"/>
      <c r="CL70" s="89"/>
      <c r="CM70" s="89"/>
      <c r="CN70" s="89"/>
      <c r="CO70" s="89"/>
      <c r="CP70" s="89"/>
      <c r="CQ70" s="89"/>
      <c r="CR70" s="89"/>
      <c r="CS70" s="89"/>
      <c r="CT70" s="89"/>
      <c r="CU70" s="89"/>
      <c r="CV70" s="89"/>
      <c r="CW70" s="89"/>
      <c r="CX70" s="89"/>
      <c r="CY70" s="89"/>
      <c r="CZ70" s="89"/>
      <c r="DA70" s="89"/>
      <c r="DB70" s="89"/>
      <c r="DC70" s="89"/>
      <c r="DD70" s="89"/>
      <c r="DE70" s="89"/>
      <c r="DF70" s="89"/>
      <c r="DG70" s="89"/>
      <c r="DH70" s="89"/>
      <c r="DI70" s="89"/>
      <c r="DJ70" s="89"/>
      <c r="DK70" s="89"/>
      <c r="DL70" s="89"/>
      <c r="DM70" s="89"/>
      <c r="DN70" s="89"/>
      <c r="DO70" s="89"/>
      <c r="DP70" s="89"/>
      <c r="DQ70" s="89"/>
      <c r="DR70" s="89"/>
      <c r="DS70" s="89"/>
      <c r="DT70" s="89"/>
      <c r="DU70" s="89"/>
      <c r="DV70" s="89"/>
      <c r="DW70" s="89"/>
    </row>
    <row r="71" spans="2:127" ht="30" customHeight="1" thickBot="1" x14ac:dyDescent="0.4">
      <c r="B71" s="81" t="s">
        <v>89</v>
      </c>
      <c r="C71" s="82"/>
      <c r="D71" s="97"/>
      <c r="E71" s="84">
        <v>46259</v>
      </c>
      <c r="F71" s="84">
        <v>46260</v>
      </c>
      <c r="G71" s="88"/>
      <c r="H71" s="88">
        <f t="shared" si="45"/>
        <v>2</v>
      </c>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c r="AR71" s="89"/>
      <c r="AS71" s="89"/>
      <c r="AT71" s="89"/>
      <c r="AU71" s="89"/>
      <c r="AV71" s="89"/>
      <c r="AW71" s="89"/>
      <c r="AX71" s="89"/>
      <c r="AY71" s="89"/>
      <c r="AZ71" s="89"/>
      <c r="BA71" s="89"/>
      <c r="BB71" s="89"/>
      <c r="BC71" s="89"/>
      <c r="BD71" s="89"/>
      <c r="BE71" s="89"/>
      <c r="BF71" s="89"/>
      <c r="BG71" s="89"/>
      <c r="BH71" s="89"/>
      <c r="BI71" s="89"/>
      <c r="BJ71" s="89"/>
      <c r="BK71" s="89"/>
      <c r="BL71" s="89"/>
      <c r="BM71" s="89"/>
      <c r="BN71" s="89"/>
      <c r="BO71" s="89"/>
      <c r="BP71" s="89"/>
      <c r="BQ71" s="89"/>
      <c r="BR71" s="89"/>
      <c r="BS71" s="89"/>
      <c r="BT71" s="89"/>
      <c r="BU71" s="89"/>
      <c r="BV71" s="89"/>
      <c r="BW71" s="89"/>
      <c r="BX71" s="89"/>
      <c r="BY71" s="89"/>
      <c r="BZ71" s="89"/>
      <c r="CA71" s="89"/>
      <c r="CB71" s="89"/>
      <c r="CC71" s="89"/>
      <c r="CD71" s="89"/>
      <c r="CE71" s="89"/>
      <c r="CF71" s="89"/>
      <c r="CG71" s="89"/>
      <c r="CH71" s="89"/>
      <c r="CI71" s="89"/>
      <c r="CJ71" s="89"/>
      <c r="CK71" s="89"/>
      <c r="CL71" s="89"/>
      <c r="CM71" s="89"/>
      <c r="CN71" s="89"/>
      <c r="CO71" s="89"/>
      <c r="CP71" s="89"/>
      <c r="CQ71" s="89"/>
      <c r="CR71" s="89"/>
      <c r="CS71" s="89"/>
      <c r="CT71" s="89"/>
      <c r="CU71" s="89"/>
      <c r="CV71" s="89"/>
      <c r="CW71" s="89"/>
      <c r="CX71" s="89"/>
      <c r="CY71" s="89"/>
      <c r="CZ71" s="89"/>
      <c r="DA71" s="89"/>
      <c r="DB71" s="89"/>
      <c r="DC71" s="89"/>
      <c r="DD71" s="89"/>
      <c r="DE71" s="89"/>
      <c r="DF71" s="89"/>
      <c r="DG71" s="89"/>
      <c r="DH71" s="89"/>
      <c r="DI71" s="89"/>
      <c r="DJ71" s="89"/>
      <c r="DK71" s="89"/>
      <c r="DL71" s="89"/>
      <c r="DM71" s="89"/>
      <c r="DN71" s="89"/>
      <c r="DO71" s="89"/>
      <c r="DP71" s="89"/>
      <c r="DQ71" s="89"/>
      <c r="DR71" s="89"/>
      <c r="DS71" s="89"/>
      <c r="DT71" s="89"/>
      <c r="DU71" s="89"/>
      <c r="DV71" s="89"/>
      <c r="DW71" s="89"/>
    </row>
    <row r="72" spans="2:127" ht="30" customHeight="1" thickBot="1" x14ac:dyDescent="0.4">
      <c r="B72" s="81" t="s">
        <v>138</v>
      </c>
      <c r="C72" s="82"/>
      <c r="D72" s="97"/>
      <c r="E72" s="84">
        <v>46232</v>
      </c>
      <c r="F72" s="84">
        <v>46235</v>
      </c>
      <c r="G72" s="88"/>
      <c r="H72" s="88"/>
      <c r="I72" s="89"/>
      <c r="J72" s="89"/>
      <c r="K72" s="89"/>
      <c r="L72" s="89"/>
      <c r="M72" s="89"/>
      <c r="N72" s="89"/>
      <c r="O72" s="89"/>
      <c r="P72" s="89"/>
      <c r="Q72" s="89"/>
      <c r="R72" s="89"/>
      <c r="S72" s="89"/>
      <c r="T72" s="89"/>
      <c r="U72" s="89"/>
      <c r="V72" s="89"/>
      <c r="W72" s="89"/>
      <c r="X72" s="89"/>
      <c r="Y72" s="89"/>
      <c r="Z72" s="89"/>
      <c r="AA72" s="89"/>
      <c r="AB72" s="89"/>
      <c r="AC72" s="89"/>
      <c r="AD72" s="89"/>
      <c r="AE72" s="89"/>
      <c r="AF72" s="89"/>
      <c r="AG72" s="89"/>
      <c r="AH72" s="89"/>
      <c r="AI72" s="89"/>
      <c r="AJ72" s="89"/>
      <c r="AK72" s="89"/>
      <c r="AL72" s="89"/>
      <c r="AM72" s="89"/>
      <c r="AN72" s="89"/>
      <c r="AO72" s="89"/>
      <c r="AP72" s="89"/>
      <c r="AQ72" s="89"/>
      <c r="AR72" s="89"/>
      <c r="AS72" s="89"/>
      <c r="AT72" s="89"/>
      <c r="AU72" s="89"/>
      <c r="AV72" s="89"/>
      <c r="AW72" s="89"/>
      <c r="AX72" s="89"/>
      <c r="AY72" s="89"/>
      <c r="AZ72" s="89"/>
      <c r="BA72" s="89"/>
      <c r="BB72" s="89"/>
      <c r="BC72" s="89"/>
      <c r="BD72" s="89"/>
      <c r="BE72" s="89"/>
      <c r="BF72" s="89"/>
      <c r="BG72" s="89"/>
      <c r="BH72" s="89"/>
      <c r="BI72" s="89"/>
      <c r="BJ72" s="89"/>
      <c r="BK72" s="89"/>
      <c r="BL72" s="89"/>
      <c r="BM72" s="89"/>
      <c r="BN72" s="89"/>
      <c r="BO72" s="89"/>
      <c r="BP72" s="89"/>
      <c r="BQ72" s="89"/>
      <c r="BR72" s="89"/>
      <c r="BS72" s="89"/>
      <c r="BT72" s="89"/>
      <c r="BU72" s="89"/>
      <c r="BV72" s="89"/>
      <c r="BW72" s="89"/>
      <c r="BX72" s="89"/>
      <c r="BY72" s="89"/>
      <c r="BZ72" s="89"/>
      <c r="CA72" s="89"/>
      <c r="CB72" s="89"/>
      <c r="CC72" s="89"/>
      <c r="CD72" s="89"/>
      <c r="CE72" s="89"/>
      <c r="CF72" s="89"/>
      <c r="CG72" s="89"/>
      <c r="CH72" s="89"/>
      <c r="CI72" s="89"/>
      <c r="CJ72" s="89"/>
      <c r="CK72" s="89"/>
      <c r="CL72" s="89"/>
      <c r="CM72" s="89"/>
      <c r="CN72" s="89"/>
      <c r="CO72" s="89"/>
      <c r="CP72" s="89"/>
      <c r="CQ72" s="89"/>
      <c r="CR72" s="89"/>
      <c r="CS72" s="89"/>
      <c r="CT72" s="89"/>
      <c r="CU72" s="89"/>
      <c r="CV72" s="89"/>
      <c r="CW72" s="89"/>
      <c r="CX72" s="89"/>
      <c r="CY72" s="89"/>
      <c r="CZ72" s="89"/>
      <c r="DA72" s="89"/>
      <c r="DB72" s="89"/>
      <c r="DC72" s="89"/>
      <c r="DD72" s="89"/>
      <c r="DE72" s="89"/>
      <c r="DF72" s="89"/>
      <c r="DG72" s="89"/>
      <c r="DH72" s="89"/>
      <c r="DI72" s="89"/>
      <c r="DJ72" s="89"/>
      <c r="DK72" s="89"/>
      <c r="DL72" s="89"/>
      <c r="DM72" s="89"/>
      <c r="DN72" s="89"/>
      <c r="DO72" s="89"/>
      <c r="DP72" s="89"/>
      <c r="DQ72" s="89"/>
      <c r="DR72" s="89"/>
      <c r="DS72" s="89"/>
      <c r="DT72" s="89"/>
      <c r="DU72" s="89"/>
      <c r="DV72" s="89"/>
      <c r="DW72" s="89"/>
    </row>
  </sheetData>
  <mergeCells count="21">
    <mergeCell ref="CH4:CN4"/>
    <mergeCell ref="B1:CN1"/>
    <mergeCell ref="C3:D3"/>
    <mergeCell ref="E3:F3"/>
    <mergeCell ref="C4:D4"/>
    <mergeCell ref="I4:O4"/>
    <mergeCell ref="P4:V4"/>
    <mergeCell ref="W4:AC4"/>
    <mergeCell ref="AD4:AJ4"/>
    <mergeCell ref="AK4:AQ4"/>
    <mergeCell ref="AR4:AX4"/>
    <mergeCell ref="AY4:BE4"/>
    <mergeCell ref="BF4:BL4"/>
    <mergeCell ref="BM4:BS4"/>
    <mergeCell ref="BT4:BZ4"/>
    <mergeCell ref="CA4:CG4"/>
    <mergeCell ref="CO4:CU4"/>
    <mergeCell ref="CV4:DB4"/>
    <mergeCell ref="DC4:DI4"/>
    <mergeCell ref="DJ4:DP4"/>
    <mergeCell ref="DQ4:DW4"/>
  </mergeCells>
  <phoneticPr fontId="31" type="noConversion"/>
  <conditionalFormatting sqref="D7:D72">
    <cfRule type="dataBar" priority="4">
      <dataBar>
        <cfvo type="num" val="0"/>
        <cfvo type="num" val="1"/>
        <color theme="0" tint="-0.249977111117893"/>
      </dataBar>
      <extLst>
        <ext xmlns:x14="http://schemas.microsoft.com/office/spreadsheetml/2009/9/main" uri="{B025F937-C7B1-47D3-B67F-A62EFF666E3E}">
          <x14:id>{592DAB2C-4AF8-4AB2-833A-F3ADF0BFF5C6}</x14:id>
        </ext>
      </extLst>
    </cfRule>
  </conditionalFormatting>
  <conditionalFormatting sqref="I5:DW72">
    <cfRule type="expression" dxfId="5" priority="3">
      <formula>AND(TODAY()&gt;=I$5,TODAY()&lt;J$5)</formula>
    </cfRule>
  </conditionalFormatting>
  <conditionalFormatting sqref="I7:DW72">
    <cfRule type="expression" dxfId="4" priority="1">
      <formula>AND(task_start&lt;=I$5,ROUNDDOWN((task_end-task_start+1)*task_progress,0)+task_start-1&gt;=I$5)</formula>
    </cfRule>
    <cfRule type="expression" dxfId="3" priority="2" stopIfTrue="1">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xr:uid="{30715428-746D-4503-B614-B3DA0D0D2CCD}">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592DAB2C-4AF8-4AB2-833A-F3ADF0BFF5C6}">
            <x14:dataBar minLength="0" maxLength="100" gradient="0">
              <x14:cfvo type="num">
                <xm:f>0</xm:f>
              </x14:cfvo>
              <x14:cfvo type="num">
                <xm:f>1</xm:f>
              </x14:cfvo>
              <x14:negativeFillColor rgb="FFFF0000"/>
              <x14:axisColor rgb="FF000000"/>
            </x14:dataBar>
          </x14:cfRule>
          <xm:sqref>D7:D72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N47"/>
  <sheetViews>
    <sheetView showGridLines="0" showRuler="0" zoomScale="11" zoomScaleNormal="67" zoomScalePageLayoutView="70" workbookViewId="0">
      <pane ySplit="6" topLeftCell="A8" activePane="bottomLeft" state="frozen"/>
      <selection pane="bottomLeft" activeCell="CH69" sqref="CH69"/>
    </sheetView>
  </sheetViews>
  <sheetFormatPr baseColWidth="10" defaultColWidth="9.08984375" defaultRowHeight="30" customHeight="1" x14ac:dyDescent="0.35"/>
  <cols>
    <col min="1" max="1" width="2.6328125" style="33" customWidth="1"/>
    <col min="2" max="2" width="67.90625" customWidth="1"/>
    <col min="3" max="3" width="37.6328125" customWidth="1"/>
    <col min="4" max="4" width="10.6328125" customWidth="1"/>
    <col min="5" max="5" width="10.453125" style="3" customWidth="1"/>
    <col min="6" max="6" width="10.453125" customWidth="1"/>
    <col min="7" max="7" width="2.6328125" customWidth="1"/>
    <col min="8" max="8" width="6.08984375" hidden="1" customWidth="1"/>
    <col min="9" max="64" width="3.36328125" customWidth="1"/>
    <col min="65" max="65" width="3.90625" customWidth="1"/>
    <col min="66" max="67" width="3.453125" customWidth="1"/>
    <col min="68" max="68" width="3.08984375" customWidth="1"/>
    <col min="69" max="69" width="2.6328125" customWidth="1"/>
    <col min="70" max="70" width="3.08984375" customWidth="1"/>
    <col min="71" max="71" width="3.54296875" customWidth="1"/>
    <col min="72" max="72" width="3.36328125" customWidth="1"/>
    <col min="73" max="73" width="3.54296875" customWidth="1"/>
    <col min="74" max="74" width="3.90625" customWidth="1"/>
    <col min="75" max="75" width="3.6328125" customWidth="1"/>
    <col min="76" max="78" width="3.54296875" customWidth="1"/>
    <col min="79" max="79" width="3.36328125" customWidth="1"/>
    <col min="80" max="81" width="3.453125" customWidth="1"/>
    <col min="82" max="82" width="3.6328125" customWidth="1"/>
    <col min="83" max="83" width="3.08984375" customWidth="1"/>
    <col min="84" max="84" width="3.90625" customWidth="1"/>
    <col min="85" max="85" width="3.54296875" customWidth="1"/>
    <col min="86" max="86" width="3.453125" customWidth="1"/>
    <col min="87" max="87" width="2.90625" customWidth="1"/>
    <col min="88" max="88" width="3" customWidth="1"/>
    <col min="89" max="89" width="3.36328125" customWidth="1"/>
    <col min="90" max="90" width="3.453125" customWidth="1"/>
    <col min="91" max="91" width="3.90625" customWidth="1"/>
    <col min="92" max="92" width="2.90625" customWidth="1"/>
    <col min="16378" max="16383" width="9.08984375" bestFit="1" customWidth="1"/>
  </cols>
  <sheetData>
    <row r="1" spans="1:92" ht="30" customHeight="1" x14ac:dyDescent="0.65">
      <c r="A1" s="34" t="s">
        <v>0</v>
      </c>
      <c r="B1" s="101" t="s">
        <v>55</v>
      </c>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1"/>
      <c r="CH1" s="101"/>
      <c r="CI1" s="101"/>
      <c r="CJ1" s="101"/>
      <c r="CK1" s="101"/>
      <c r="CL1" s="101"/>
      <c r="CM1" s="101"/>
      <c r="CN1" s="101"/>
    </row>
    <row r="2" spans="1:92" ht="30" customHeight="1" x14ac:dyDescent="0.45">
      <c r="A2" s="33" t="s">
        <v>2</v>
      </c>
      <c r="B2" s="36" t="s">
        <v>3</v>
      </c>
      <c r="I2" s="51"/>
    </row>
    <row r="3" spans="1:92" ht="30" customHeight="1" x14ac:dyDescent="0.35">
      <c r="A3" s="33" t="s">
        <v>5</v>
      </c>
      <c r="B3" s="37"/>
      <c r="C3" s="102" t="s">
        <v>6</v>
      </c>
      <c r="D3" s="102"/>
      <c r="E3" s="106">
        <v>46146</v>
      </c>
      <c r="F3" s="106"/>
    </row>
    <row r="4" spans="1:92" ht="30" customHeight="1" x14ac:dyDescent="0.35">
      <c r="A4" s="34" t="s">
        <v>7</v>
      </c>
      <c r="C4" s="102" t="s">
        <v>8</v>
      </c>
      <c r="D4" s="102"/>
      <c r="E4" s="4">
        <v>1</v>
      </c>
      <c r="I4" s="98" t="s">
        <v>9</v>
      </c>
      <c r="J4" s="99"/>
      <c r="K4" s="99"/>
      <c r="L4" s="99"/>
      <c r="M4" s="99"/>
      <c r="N4" s="99"/>
      <c r="O4" s="100"/>
      <c r="P4" s="98" t="s">
        <v>10</v>
      </c>
      <c r="Q4" s="99"/>
      <c r="R4" s="99"/>
      <c r="S4" s="99"/>
      <c r="T4" s="99"/>
      <c r="U4" s="99"/>
      <c r="V4" s="100"/>
      <c r="W4" s="98" t="s">
        <v>11</v>
      </c>
      <c r="X4" s="99"/>
      <c r="Y4" s="99"/>
      <c r="Z4" s="99"/>
      <c r="AA4" s="99"/>
      <c r="AB4" s="99"/>
      <c r="AC4" s="100"/>
      <c r="AD4" s="98" t="s">
        <v>12</v>
      </c>
      <c r="AE4" s="99"/>
      <c r="AF4" s="99"/>
      <c r="AG4" s="99"/>
      <c r="AH4" s="99"/>
      <c r="AI4" s="99"/>
      <c r="AJ4" s="100"/>
      <c r="AK4" s="98" t="s">
        <v>13</v>
      </c>
      <c r="AL4" s="99"/>
      <c r="AM4" s="99"/>
      <c r="AN4" s="99"/>
      <c r="AO4" s="99"/>
      <c r="AP4" s="99"/>
      <c r="AQ4" s="100"/>
      <c r="AR4" s="98" t="s">
        <v>14</v>
      </c>
      <c r="AS4" s="99"/>
      <c r="AT4" s="99"/>
      <c r="AU4" s="99"/>
      <c r="AV4" s="99"/>
      <c r="AW4" s="99"/>
      <c r="AX4" s="100"/>
      <c r="AY4" s="98" t="s">
        <v>15</v>
      </c>
      <c r="AZ4" s="99"/>
      <c r="BA4" s="99"/>
      <c r="BB4" s="99"/>
      <c r="BC4" s="99"/>
      <c r="BD4" s="99"/>
      <c r="BE4" s="100"/>
      <c r="BF4" s="98" t="s">
        <v>16</v>
      </c>
      <c r="BG4" s="99"/>
      <c r="BH4" s="99"/>
      <c r="BI4" s="99"/>
      <c r="BJ4" s="99"/>
      <c r="BK4" s="99"/>
      <c r="BL4" s="100"/>
      <c r="BM4" s="98" t="s">
        <v>17</v>
      </c>
      <c r="BN4" s="99"/>
      <c r="BO4" s="99"/>
      <c r="BP4" s="99"/>
      <c r="BQ4" s="99"/>
      <c r="BR4" s="99"/>
      <c r="BS4" s="100"/>
      <c r="BT4" s="98" t="s">
        <v>18</v>
      </c>
      <c r="BU4" s="99"/>
      <c r="BV4" s="99"/>
      <c r="BW4" s="99"/>
      <c r="BX4" s="99"/>
      <c r="BY4" s="99"/>
      <c r="BZ4" s="100"/>
      <c r="CA4" s="98" t="s">
        <v>19</v>
      </c>
      <c r="CB4" s="99"/>
      <c r="CC4" s="99"/>
      <c r="CD4" s="99"/>
      <c r="CE4" s="99"/>
      <c r="CF4" s="99"/>
      <c r="CG4" s="100"/>
      <c r="CH4" s="98" t="s">
        <v>20</v>
      </c>
      <c r="CI4" s="99"/>
      <c r="CJ4" s="99"/>
      <c r="CK4" s="99"/>
      <c r="CL4" s="99"/>
      <c r="CM4" s="99"/>
      <c r="CN4" s="100"/>
    </row>
    <row r="5" spans="1:92" ht="15" customHeight="1" x14ac:dyDescent="0.35">
      <c r="A5" s="34" t="s">
        <v>21</v>
      </c>
      <c r="B5" s="50"/>
      <c r="C5" s="50"/>
      <c r="D5" s="50"/>
      <c r="E5" s="50"/>
      <c r="F5" s="50"/>
      <c r="G5" s="50"/>
      <c r="I5" s="53">
        <f>Inicio_del_proyecto-WEEKDAY(Inicio_del_proyecto,1)+2+7*(Semana_para_mostrar-1)</f>
        <v>46146</v>
      </c>
      <c r="J5" s="54">
        <f>I5+1</f>
        <v>46147</v>
      </c>
      <c r="K5" s="54">
        <f t="shared" ref="K5:AX5" si="0">J5+1</f>
        <v>46148</v>
      </c>
      <c r="L5" s="54">
        <f t="shared" si="0"/>
        <v>46149</v>
      </c>
      <c r="M5" s="54">
        <f t="shared" si="0"/>
        <v>46150</v>
      </c>
      <c r="N5" s="54">
        <f t="shared" si="0"/>
        <v>46151</v>
      </c>
      <c r="O5" s="55">
        <f t="shared" si="0"/>
        <v>46152</v>
      </c>
      <c r="P5" s="53">
        <f>O5+1</f>
        <v>46153</v>
      </c>
      <c r="Q5" s="54">
        <f>P5+1</f>
        <v>46154</v>
      </c>
      <c r="R5" s="54">
        <f t="shared" si="0"/>
        <v>46155</v>
      </c>
      <c r="S5" s="54">
        <f t="shared" si="0"/>
        <v>46156</v>
      </c>
      <c r="T5" s="54">
        <f t="shared" si="0"/>
        <v>46157</v>
      </c>
      <c r="U5" s="54">
        <f t="shared" si="0"/>
        <v>46158</v>
      </c>
      <c r="V5" s="55">
        <f t="shared" si="0"/>
        <v>46159</v>
      </c>
      <c r="W5" s="53">
        <f>V5+1</f>
        <v>46160</v>
      </c>
      <c r="X5" s="54">
        <f>W5+1</f>
        <v>46161</v>
      </c>
      <c r="Y5" s="54">
        <f t="shared" si="0"/>
        <v>46162</v>
      </c>
      <c r="Z5" s="54">
        <f t="shared" si="0"/>
        <v>46163</v>
      </c>
      <c r="AA5" s="54">
        <f t="shared" si="0"/>
        <v>46164</v>
      </c>
      <c r="AB5" s="54">
        <f t="shared" si="0"/>
        <v>46165</v>
      </c>
      <c r="AC5" s="55">
        <f t="shared" si="0"/>
        <v>46166</v>
      </c>
      <c r="AD5" s="53">
        <f>AC5+1</f>
        <v>46167</v>
      </c>
      <c r="AE5" s="54">
        <f>AD5+1</f>
        <v>46168</v>
      </c>
      <c r="AF5" s="54">
        <f t="shared" si="0"/>
        <v>46169</v>
      </c>
      <c r="AG5" s="54">
        <f t="shared" si="0"/>
        <v>46170</v>
      </c>
      <c r="AH5" s="54">
        <f t="shared" si="0"/>
        <v>46171</v>
      </c>
      <c r="AI5" s="54">
        <f t="shared" si="0"/>
        <v>46172</v>
      </c>
      <c r="AJ5" s="55">
        <f t="shared" si="0"/>
        <v>46173</v>
      </c>
      <c r="AK5" s="53">
        <f>AJ5+1</f>
        <v>46174</v>
      </c>
      <c r="AL5" s="54">
        <f>AK5+1</f>
        <v>46175</v>
      </c>
      <c r="AM5" s="54">
        <f t="shared" si="0"/>
        <v>46176</v>
      </c>
      <c r="AN5" s="54">
        <f t="shared" si="0"/>
        <v>46177</v>
      </c>
      <c r="AO5" s="54">
        <f t="shared" si="0"/>
        <v>46178</v>
      </c>
      <c r="AP5" s="54">
        <f t="shared" si="0"/>
        <v>46179</v>
      </c>
      <c r="AQ5" s="55">
        <f t="shared" si="0"/>
        <v>46180</v>
      </c>
      <c r="AR5" s="53">
        <f>AQ5+1</f>
        <v>46181</v>
      </c>
      <c r="AS5" s="54">
        <f>AR5+1</f>
        <v>46182</v>
      </c>
      <c r="AT5" s="54">
        <f t="shared" si="0"/>
        <v>46183</v>
      </c>
      <c r="AU5" s="54">
        <f t="shared" si="0"/>
        <v>46184</v>
      </c>
      <c r="AV5" s="54">
        <f t="shared" si="0"/>
        <v>46185</v>
      </c>
      <c r="AW5" s="54">
        <f t="shared" si="0"/>
        <v>46186</v>
      </c>
      <c r="AX5" s="55">
        <f t="shared" si="0"/>
        <v>46187</v>
      </c>
      <c r="AY5" s="53">
        <f>AX5+1</f>
        <v>46188</v>
      </c>
      <c r="AZ5" s="54">
        <f>AY5+1</f>
        <v>46189</v>
      </c>
      <c r="BA5" s="54">
        <f t="shared" ref="BA5:BE5" si="1">AZ5+1</f>
        <v>46190</v>
      </c>
      <c r="BB5" s="54">
        <f t="shared" si="1"/>
        <v>46191</v>
      </c>
      <c r="BC5" s="54">
        <f t="shared" si="1"/>
        <v>46192</v>
      </c>
      <c r="BD5" s="54">
        <f t="shared" si="1"/>
        <v>46193</v>
      </c>
      <c r="BE5" s="55">
        <f t="shared" si="1"/>
        <v>46194</v>
      </c>
      <c r="BF5" s="53">
        <f>BE5+1</f>
        <v>46195</v>
      </c>
      <c r="BG5" s="54">
        <f>BF5+1</f>
        <v>46196</v>
      </c>
      <c r="BH5" s="54">
        <f t="shared" ref="BH5:BL5" si="2">BG5+1</f>
        <v>46197</v>
      </c>
      <c r="BI5" s="54">
        <f t="shared" si="2"/>
        <v>46198</v>
      </c>
      <c r="BJ5" s="54">
        <f t="shared" si="2"/>
        <v>46199</v>
      </c>
      <c r="BK5" s="54">
        <f t="shared" si="2"/>
        <v>46200</v>
      </c>
      <c r="BL5" s="55">
        <f t="shared" si="2"/>
        <v>46201</v>
      </c>
      <c r="BM5" s="53">
        <f t="shared" ref="BM5:CN5" si="3">BL5+1</f>
        <v>46202</v>
      </c>
      <c r="BN5" s="54">
        <f t="shared" si="3"/>
        <v>46203</v>
      </c>
      <c r="BO5" s="54">
        <f t="shared" si="3"/>
        <v>46204</v>
      </c>
      <c r="BP5" s="54">
        <f t="shared" si="3"/>
        <v>46205</v>
      </c>
      <c r="BQ5" s="54">
        <f t="shared" si="3"/>
        <v>46206</v>
      </c>
      <c r="BR5" s="54">
        <f t="shared" si="3"/>
        <v>46207</v>
      </c>
      <c r="BS5" s="55">
        <f t="shared" si="3"/>
        <v>46208</v>
      </c>
      <c r="BT5" s="53">
        <f t="shared" si="3"/>
        <v>46209</v>
      </c>
      <c r="BU5" s="54">
        <f t="shared" si="3"/>
        <v>46210</v>
      </c>
      <c r="BV5" s="54">
        <f t="shared" si="3"/>
        <v>46211</v>
      </c>
      <c r="BW5" s="54">
        <f t="shared" si="3"/>
        <v>46212</v>
      </c>
      <c r="BX5" s="54">
        <f t="shared" si="3"/>
        <v>46213</v>
      </c>
      <c r="BY5" s="54">
        <f t="shared" si="3"/>
        <v>46214</v>
      </c>
      <c r="BZ5" s="55">
        <f t="shared" si="3"/>
        <v>46215</v>
      </c>
      <c r="CA5" s="53">
        <f t="shared" si="3"/>
        <v>46216</v>
      </c>
      <c r="CB5" s="54">
        <f t="shared" si="3"/>
        <v>46217</v>
      </c>
      <c r="CC5" s="54">
        <f t="shared" si="3"/>
        <v>46218</v>
      </c>
      <c r="CD5" s="54">
        <f t="shared" si="3"/>
        <v>46219</v>
      </c>
      <c r="CE5" s="54">
        <f t="shared" si="3"/>
        <v>46220</v>
      </c>
      <c r="CF5" s="54">
        <f t="shared" si="3"/>
        <v>46221</v>
      </c>
      <c r="CG5" s="55">
        <f t="shared" si="3"/>
        <v>46222</v>
      </c>
      <c r="CH5" s="53">
        <f t="shared" si="3"/>
        <v>46223</v>
      </c>
      <c r="CI5" s="54">
        <f t="shared" si="3"/>
        <v>46224</v>
      </c>
      <c r="CJ5" s="54">
        <f t="shared" si="3"/>
        <v>46225</v>
      </c>
      <c r="CK5" s="54">
        <f t="shared" si="3"/>
        <v>46226</v>
      </c>
      <c r="CL5" s="54">
        <f t="shared" si="3"/>
        <v>46227</v>
      </c>
      <c r="CM5" s="54">
        <f t="shared" si="3"/>
        <v>46228</v>
      </c>
      <c r="CN5" s="55">
        <f t="shared" si="3"/>
        <v>46229</v>
      </c>
    </row>
    <row r="6" spans="1:92" ht="30" customHeight="1" x14ac:dyDescent="0.35">
      <c r="A6" s="34" t="s">
        <v>22</v>
      </c>
      <c r="B6" s="5" t="s">
        <v>23</v>
      </c>
      <c r="C6" s="6" t="s">
        <v>24</v>
      </c>
      <c r="D6" s="6" t="s">
        <v>25</v>
      </c>
      <c r="E6" s="6" t="s">
        <v>26</v>
      </c>
      <c r="F6" s="6" t="s">
        <v>27</v>
      </c>
      <c r="G6" s="6"/>
      <c r="H6" s="6" t="s">
        <v>28</v>
      </c>
      <c r="I6" s="7" t="str">
        <f t="shared" ref="I6" si="4">LEFT(TEXT(I5,"ddd"),1)</f>
        <v>l</v>
      </c>
      <c r="J6" s="7" t="str">
        <f t="shared" ref="J6:AR6" si="5">LEFT(TEXT(J5,"ddd"),1)</f>
        <v>m</v>
      </c>
      <c r="K6" s="7" t="str">
        <f t="shared" si="5"/>
        <v>m</v>
      </c>
      <c r="L6" s="7" t="str">
        <f t="shared" si="5"/>
        <v>j</v>
      </c>
      <c r="M6" s="7" t="str">
        <f t="shared" si="5"/>
        <v>v</v>
      </c>
      <c r="N6" s="7" t="str">
        <f t="shared" si="5"/>
        <v>s</v>
      </c>
      <c r="O6" s="7" t="str">
        <f t="shared" si="5"/>
        <v>d</v>
      </c>
      <c r="P6" s="7" t="str">
        <f t="shared" si="5"/>
        <v>l</v>
      </c>
      <c r="Q6" s="7" t="str">
        <f t="shared" si="5"/>
        <v>m</v>
      </c>
      <c r="R6" s="7" t="str">
        <f t="shared" si="5"/>
        <v>m</v>
      </c>
      <c r="S6" s="7" t="str">
        <f t="shared" si="5"/>
        <v>j</v>
      </c>
      <c r="T6" s="7" t="str">
        <f t="shared" si="5"/>
        <v>v</v>
      </c>
      <c r="U6" s="7" t="str">
        <f t="shared" si="5"/>
        <v>s</v>
      </c>
      <c r="V6" s="7" t="str">
        <f t="shared" si="5"/>
        <v>d</v>
      </c>
      <c r="W6" s="7" t="str">
        <f t="shared" si="5"/>
        <v>l</v>
      </c>
      <c r="X6" s="7" t="str">
        <f t="shared" si="5"/>
        <v>m</v>
      </c>
      <c r="Y6" s="7" t="str">
        <f t="shared" si="5"/>
        <v>m</v>
      </c>
      <c r="Z6" s="7" t="str">
        <f t="shared" si="5"/>
        <v>j</v>
      </c>
      <c r="AA6" s="7" t="str">
        <f t="shared" si="5"/>
        <v>v</v>
      </c>
      <c r="AB6" s="7" t="str">
        <f t="shared" si="5"/>
        <v>s</v>
      </c>
      <c r="AC6" s="7" t="str">
        <f t="shared" si="5"/>
        <v>d</v>
      </c>
      <c r="AD6" s="7" t="str">
        <f t="shared" si="5"/>
        <v>l</v>
      </c>
      <c r="AE6" s="7" t="str">
        <f t="shared" si="5"/>
        <v>m</v>
      </c>
      <c r="AF6" s="7" t="str">
        <f t="shared" si="5"/>
        <v>m</v>
      </c>
      <c r="AG6" s="7" t="str">
        <f t="shared" si="5"/>
        <v>j</v>
      </c>
      <c r="AH6" s="7" t="str">
        <f t="shared" si="5"/>
        <v>v</v>
      </c>
      <c r="AI6" s="7" t="str">
        <f t="shared" si="5"/>
        <v>s</v>
      </c>
      <c r="AJ6" s="7" t="str">
        <f t="shared" si="5"/>
        <v>d</v>
      </c>
      <c r="AK6" s="7" t="str">
        <f t="shared" si="5"/>
        <v>l</v>
      </c>
      <c r="AL6" s="7" t="str">
        <f t="shared" si="5"/>
        <v>m</v>
      </c>
      <c r="AM6" s="7" t="str">
        <f t="shared" si="5"/>
        <v>m</v>
      </c>
      <c r="AN6" s="7" t="str">
        <f t="shared" si="5"/>
        <v>j</v>
      </c>
      <c r="AO6" s="7" t="str">
        <f t="shared" si="5"/>
        <v>v</v>
      </c>
      <c r="AP6" s="7" t="str">
        <f t="shared" si="5"/>
        <v>s</v>
      </c>
      <c r="AQ6" s="7" t="str">
        <f t="shared" si="5"/>
        <v>d</v>
      </c>
      <c r="AR6" s="7" t="str">
        <f t="shared" si="5"/>
        <v>l</v>
      </c>
      <c r="AS6" s="7" t="str">
        <f t="shared" ref="AS6:BL6" si="6">LEFT(TEXT(AS5,"ddd"),1)</f>
        <v>m</v>
      </c>
      <c r="AT6" s="7" t="str">
        <f t="shared" si="6"/>
        <v>m</v>
      </c>
      <c r="AU6" s="7" t="str">
        <f t="shared" si="6"/>
        <v>j</v>
      </c>
      <c r="AV6" s="7" t="str">
        <f t="shared" si="6"/>
        <v>v</v>
      </c>
      <c r="AW6" s="7" t="str">
        <f t="shared" si="6"/>
        <v>s</v>
      </c>
      <c r="AX6" s="7" t="str">
        <f t="shared" si="6"/>
        <v>d</v>
      </c>
      <c r="AY6" s="7" t="str">
        <f t="shared" si="6"/>
        <v>l</v>
      </c>
      <c r="AZ6" s="7" t="str">
        <f t="shared" si="6"/>
        <v>m</v>
      </c>
      <c r="BA6" s="7" t="str">
        <f t="shared" si="6"/>
        <v>m</v>
      </c>
      <c r="BB6" s="7" t="str">
        <f t="shared" si="6"/>
        <v>j</v>
      </c>
      <c r="BC6" s="7" t="str">
        <f t="shared" si="6"/>
        <v>v</v>
      </c>
      <c r="BD6" s="7" t="str">
        <f t="shared" si="6"/>
        <v>s</v>
      </c>
      <c r="BE6" s="7" t="str">
        <f t="shared" si="6"/>
        <v>d</v>
      </c>
      <c r="BF6" s="7" t="str">
        <f t="shared" si="6"/>
        <v>l</v>
      </c>
      <c r="BG6" s="7" t="str">
        <f t="shared" si="6"/>
        <v>m</v>
      </c>
      <c r="BH6" s="7" t="str">
        <f t="shared" si="6"/>
        <v>m</v>
      </c>
      <c r="BI6" s="7" t="str">
        <f t="shared" si="6"/>
        <v>j</v>
      </c>
      <c r="BJ6" s="7" t="str">
        <f t="shared" si="6"/>
        <v>v</v>
      </c>
      <c r="BK6" s="7" t="str">
        <f t="shared" si="6"/>
        <v>s</v>
      </c>
      <c r="BL6" s="7" t="str">
        <f t="shared" si="6"/>
        <v>d</v>
      </c>
      <c r="BM6" s="7" t="str">
        <f t="shared" ref="BM6:CN6" si="7">LEFT(TEXT(BM5,"ddd"),1)</f>
        <v>l</v>
      </c>
      <c r="BN6" s="7" t="str">
        <f t="shared" si="7"/>
        <v>m</v>
      </c>
      <c r="BO6" s="7" t="str">
        <f t="shared" si="7"/>
        <v>m</v>
      </c>
      <c r="BP6" s="7" t="str">
        <f t="shared" si="7"/>
        <v>j</v>
      </c>
      <c r="BQ6" s="7" t="str">
        <f t="shared" si="7"/>
        <v>v</v>
      </c>
      <c r="BR6" s="7" t="str">
        <f t="shared" si="7"/>
        <v>s</v>
      </c>
      <c r="BS6" s="7" t="str">
        <f t="shared" si="7"/>
        <v>d</v>
      </c>
      <c r="BT6" s="7" t="str">
        <f t="shared" si="7"/>
        <v>l</v>
      </c>
      <c r="BU6" s="7" t="str">
        <f t="shared" si="7"/>
        <v>m</v>
      </c>
      <c r="BV6" s="7" t="str">
        <f t="shared" si="7"/>
        <v>m</v>
      </c>
      <c r="BW6" s="7" t="str">
        <f t="shared" si="7"/>
        <v>j</v>
      </c>
      <c r="BX6" s="7" t="str">
        <f t="shared" si="7"/>
        <v>v</v>
      </c>
      <c r="BY6" s="7" t="str">
        <f t="shared" si="7"/>
        <v>s</v>
      </c>
      <c r="BZ6" s="7" t="str">
        <f t="shared" si="7"/>
        <v>d</v>
      </c>
      <c r="CA6" s="7" t="str">
        <f t="shared" si="7"/>
        <v>l</v>
      </c>
      <c r="CB6" s="7" t="str">
        <f t="shared" si="7"/>
        <v>m</v>
      </c>
      <c r="CC6" s="7" t="str">
        <f t="shared" si="7"/>
        <v>m</v>
      </c>
      <c r="CD6" s="7" t="str">
        <f t="shared" si="7"/>
        <v>j</v>
      </c>
      <c r="CE6" s="7" t="str">
        <f t="shared" si="7"/>
        <v>v</v>
      </c>
      <c r="CF6" s="7" t="str">
        <f t="shared" si="7"/>
        <v>s</v>
      </c>
      <c r="CG6" s="7" t="str">
        <f t="shared" si="7"/>
        <v>d</v>
      </c>
      <c r="CH6" s="7" t="str">
        <f t="shared" si="7"/>
        <v>l</v>
      </c>
      <c r="CI6" s="7" t="str">
        <f t="shared" si="7"/>
        <v>m</v>
      </c>
      <c r="CJ6" s="7" t="str">
        <f t="shared" si="7"/>
        <v>m</v>
      </c>
      <c r="CK6" s="7" t="str">
        <f t="shared" si="7"/>
        <v>j</v>
      </c>
      <c r="CL6" s="7" t="str">
        <f t="shared" si="7"/>
        <v>v</v>
      </c>
      <c r="CM6" s="7" t="str">
        <f t="shared" si="7"/>
        <v>s</v>
      </c>
      <c r="CN6" s="7" t="str">
        <f t="shared" si="7"/>
        <v>d</v>
      </c>
    </row>
    <row r="7" spans="1:92" ht="30" hidden="1" customHeight="1" x14ac:dyDescent="0.35">
      <c r="A7" s="33" t="s">
        <v>29</v>
      </c>
      <c r="C7" s="35"/>
      <c r="E7"/>
      <c r="H7" t="str">
        <f>IF(OR(ISBLANK(task_start),ISBLANK(task_end)),"",task_end-task_start+1)</f>
        <v/>
      </c>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row>
    <row r="8" spans="1:92" s="2" customFormat="1" ht="30" customHeight="1" x14ac:dyDescent="0.35">
      <c r="A8" s="34" t="s">
        <v>30</v>
      </c>
      <c r="B8" s="9" t="s">
        <v>62</v>
      </c>
      <c r="C8" s="38"/>
      <c r="D8" s="10"/>
      <c r="E8" s="56"/>
      <c r="F8" s="57"/>
      <c r="G8" s="8"/>
      <c r="H8" s="8" t="str">
        <f t="shared" ref="H8:H37" si="8">IF(OR(ISBLANK(task_start),ISBLANK(task_end)),"",task_end-task_start+1)</f>
        <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row>
    <row r="9" spans="1:92" s="2" customFormat="1" ht="30" customHeight="1" x14ac:dyDescent="0.35">
      <c r="A9" s="34" t="s">
        <v>31</v>
      </c>
      <c r="B9" s="46" t="s">
        <v>56</v>
      </c>
      <c r="C9" s="39" t="s">
        <v>35</v>
      </c>
      <c r="D9" s="11"/>
      <c r="E9" s="58">
        <f>Inicio_del_proyecto</f>
        <v>46146</v>
      </c>
      <c r="F9" s="58">
        <v>45790</v>
      </c>
      <c r="G9" s="8"/>
      <c r="H9" s="8">
        <f t="shared" si="8"/>
        <v>-355</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row>
    <row r="10" spans="1:92" s="2" customFormat="1" ht="30" customHeight="1" x14ac:dyDescent="0.35">
      <c r="A10" s="34" t="s">
        <v>33</v>
      </c>
      <c r="B10" s="46" t="s">
        <v>91</v>
      </c>
      <c r="C10" s="39" t="s">
        <v>36</v>
      </c>
      <c r="D10" s="11"/>
      <c r="E10" s="58">
        <v>45786</v>
      </c>
      <c r="F10" s="58">
        <v>45790</v>
      </c>
      <c r="G10" s="8"/>
      <c r="H10" s="8">
        <f t="shared" si="8"/>
        <v>5</v>
      </c>
      <c r="I10" s="21"/>
      <c r="J10" s="21"/>
      <c r="K10" s="21"/>
      <c r="L10" s="21"/>
      <c r="M10" s="21"/>
      <c r="N10" s="21"/>
      <c r="O10" s="21"/>
      <c r="P10" s="21"/>
      <c r="Q10" s="21"/>
      <c r="R10" s="21"/>
      <c r="S10" s="21"/>
      <c r="T10" s="21"/>
      <c r="U10" s="22"/>
      <c r="V10" s="22"/>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row>
    <row r="11" spans="1:92" s="2" customFormat="1" ht="30" customHeight="1" x14ac:dyDescent="0.35">
      <c r="A11" s="33"/>
      <c r="B11" s="46" t="s">
        <v>57</v>
      </c>
      <c r="C11" s="39" t="s">
        <v>34</v>
      </c>
      <c r="D11" s="11"/>
      <c r="E11" s="58">
        <v>45786</v>
      </c>
      <c r="F11" s="58">
        <v>45792</v>
      </c>
      <c r="G11" s="8"/>
      <c r="H11" s="8">
        <f t="shared" si="8"/>
        <v>7</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row>
    <row r="12" spans="1:92" s="2" customFormat="1" ht="30" customHeight="1" x14ac:dyDescent="0.35">
      <c r="A12" s="33"/>
      <c r="B12" s="46" t="s">
        <v>58</v>
      </c>
      <c r="C12" s="39" t="s">
        <v>36</v>
      </c>
      <c r="D12" s="11"/>
      <c r="E12" s="58">
        <v>45786</v>
      </c>
      <c r="F12" s="58">
        <v>45792</v>
      </c>
      <c r="G12" s="8"/>
      <c r="H12" s="8">
        <f t="shared" si="8"/>
        <v>7</v>
      </c>
      <c r="I12" s="21"/>
      <c r="J12" s="21"/>
      <c r="K12" s="21"/>
      <c r="L12" s="21"/>
      <c r="M12" s="21"/>
      <c r="N12" s="21"/>
      <c r="O12" s="21"/>
      <c r="P12" s="21"/>
      <c r="Q12" s="21"/>
      <c r="R12" s="21"/>
      <c r="S12" s="21"/>
      <c r="T12" s="21"/>
      <c r="U12" s="21"/>
      <c r="V12" s="21"/>
      <c r="W12" s="21"/>
      <c r="X12" s="21"/>
      <c r="Y12" s="22"/>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row>
    <row r="13" spans="1:92" s="2" customFormat="1" ht="30" customHeight="1" x14ac:dyDescent="0.35">
      <c r="A13" s="33"/>
      <c r="B13" s="46" t="s">
        <v>59</v>
      </c>
      <c r="C13" s="90" t="s">
        <v>32</v>
      </c>
      <c r="D13" s="11"/>
      <c r="E13" s="58">
        <v>45786</v>
      </c>
      <c r="F13" s="58">
        <v>45790</v>
      </c>
      <c r="G13" s="8"/>
      <c r="H13" s="8"/>
      <c r="I13" s="21"/>
      <c r="J13" s="21"/>
      <c r="K13" s="21"/>
      <c r="L13" s="21"/>
      <c r="M13" s="21"/>
      <c r="N13" s="21"/>
      <c r="O13" s="21"/>
      <c r="P13" s="21"/>
      <c r="Q13" s="21"/>
      <c r="R13" s="21"/>
      <c r="S13" s="21"/>
      <c r="T13" s="21"/>
      <c r="U13" s="21"/>
      <c r="V13" s="21"/>
      <c r="W13" s="21"/>
      <c r="X13" s="21"/>
      <c r="Y13" s="22"/>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row>
    <row r="14" spans="1:92" s="2" customFormat="1" ht="30" customHeight="1" x14ac:dyDescent="0.35">
      <c r="A14" s="33"/>
      <c r="B14" s="46" t="s">
        <v>60</v>
      </c>
      <c r="C14" s="90" t="s">
        <v>39</v>
      </c>
      <c r="D14" s="11"/>
      <c r="E14" s="58">
        <v>45786</v>
      </c>
      <c r="F14" s="58">
        <v>45790</v>
      </c>
      <c r="G14" s="8"/>
      <c r="H14" s="8">
        <f t="shared" si="8"/>
        <v>5</v>
      </c>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row>
    <row r="15" spans="1:92" s="2" customFormat="1" ht="30" customHeight="1" x14ac:dyDescent="0.35">
      <c r="A15" s="33"/>
      <c r="B15" s="46" t="s">
        <v>90</v>
      </c>
      <c r="C15" s="90" t="s">
        <v>39</v>
      </c>
      <c r="D15" s="11"/>
      <c r="E15" s="58">
        <v>45786</v>
      </c>
      <c r="F15" s="58">
        <v>45792</v>
      </c>
      <c r="G15" s="8"/>
      <c r="H15" s="8"/>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row>
    <row r="16" spans="1:92" s="2" customFormat="1" ht="30" customHeight="1" x14ac:dyDescent="0.35">
      <c r="A16" s="33"/>
      <c r="B16" s="46"/>
      <c r="C16" s="90" t="s">
        <v>36</v>
      </c>
      <c r="D16" s="11"/>
      <c r="E16" s="58">
        <v>45786</v>
      </c>
      <c r="F16" s="58">
        <v>45792</v>
      </c>
      <c r="G16" s="8"/>
      <c r="H16" s="8"/>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row>
    <row r="17" spans="1:92" s="2" customFormat="1" ht="30" customHeight="1" x14ac:dyDescent="0.35">
      <c r="A17" s="34" t="s">
        <v>37</v>
      </c>
      <c r="B17" s="12" t="s">
        <v>63</v>
      </c>
      <c r="C17" s="40"/>
      <c r="D17" s="13"/>
      <c r="E17" s="59"/>
      <c r="F17" s="60"/>
      <c r="G17" s="8"/>
      <c r="H17" s="8" t="str">
        <f t="shared" si="8"/>
        <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row>
    <row r="18" spans="1:92" s="2" customFormat="1" ht="30" customHeight="1" x14ac:dyDescent="0.35">
      <c r="A18" s="34"/>
      <c r="B18" s="47" t="s">
        <v>64</v>
      </c>
      <c r="C18" s="41" t="s">
        <v>32</v>
      </c>
      <c r="D18" s="14"/>
      <c r="E18" s="61">
        <v>45797</v>
      </c>
      <c r="F18" s="61">
        <v>45797</v>
      </c>
      <c r="G18" s="8"/>
      <c r="H18" s="8">
        <f t="shared" si="8"/>
        <v>1</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row>
    <row r="19" spans="1:92" s="2" customFormat="1" ht="30" customHeight="1" x14ac:dyDescent="0.35">
      <c r="A19" s="33"/>
      <c r="B19" s="47" t="s">
        <v>65</v>
      </c>
      <c r="C19" s="41" t="s">
        <v>36</v>
      </c>
      <c r="D19" s="14"/>
      <c r="E19" s="61">
        <v>45797</v>
      </c>
      <c r="F19" s="61">
        <v>45806</v>
      </c>
      <c r="G19" s="8"/>
      <c r="H19" s="8">
        <f t="shared" si="8"/>
        <v>10</v>
      </c>
      <c r="I19" s="21"/>
      <c r="J19" s="21"/>
      <c r="K19" s="21"/>
      <c r="L19" s="21"/>
      <c r="M19" s="21"/>
      <c r="N19" s="21"/>
      <c r="O19" s="21"/>
      <c r="P19" s="21"/>
      <c r="Q19" s="21"/>
      <c r="R19" s="21"/>
      <c r="S19" s="21"/>
      <c r="T19" s="21"/>
      <c r="U19" s="22"/>
      <c r="V19" s="22"/>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row>
    <row r="20" spans="1:92" s="2" customFormat="1" ht="30" customHeight="1" x14ac:dyDescent="0.35">
      <c r="A20" s="33"/>
      <c r="B20" s="47" t="s">
        <v>66</v>
      </c>
      <c r="C20" s="93" t="s">
        <v>92</v>
      </c>
      <c r="D20" s="14"/>
      <c r="E20" s="61">
        <v>45797</v>
      </c>
      <c r="F20" s="61">
        <v>45806</v>
      </c>
      <c r="G20" s="8"/>
      <c r="H20" s="8">
        <f t="shared" si="8"/>
        <v>10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row>
    <row r="21" spans="1:92" s="2" customFormat="1" ht="30" customHeight="1" x14ac:dyDescent="0.35">
      <c r="A21" s="33"/>
      <c r="B21" s="47" t="s">
        <v>67</v>
      </c>
      <c r="C21" s="91" t="s">
        <v>36</v>
      </c>
      <c r="D21" s="14"/>
      <c r="E21" s="61">
        <v>45797</v>
      </c>
      <c r="F21" s="61">
        <v>45806</v>
      </c>
      <c r="G21" s="8"/>
      <c r="H21" s="8">
        <f t="shared" si="8"/>
        <v>10</v>
      </c>
      <c r="I21" s="21"/>
      <c r="J21" s="21"/>
      <c r="K21" s="21"/>
      <c r="L21" s="21"/>
      <c r="M21" s="21"/>
      <c r="N21" s="21"/>
      <c r="O21" s="21"/>
      <c r="P21" s="21"/>
      <c r="Q21" s="21"/>
      <c r="R21" s="21"/>
      <c r="S21" s="21"/>
      <c r="T21" s="21"/>
      <c r="U21" s="21"/>
      <c r="V21" s="21"/>
      <c r="W21" s="21"/>
      <c r="X21" s="21"/>
      <c r="Y21" s="22"/>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row>
    <row r="22" spans="1:92" s="2" customFormat="1" ht="30" customHeight="1" x14ac:dyDescent="0.35">
      <c r="A22" s="33"/>
      <c r="B22" s="47" t="s">
        <v>61</v>
      </c>
      <c r="C22" s="91" t="s">
        <v>39</v>
      </c>
      <c r="D22" s="14"/>
      <c r="E22" s="61">
        <v>45797</v>
      </c>
      <c r="F22" s="61">
        <v>45806</v>
      </c>
      <c r="G22" s="8"/>
      <c r="H22" s="8">
        <f t="shared" si="8"/>
        <v>10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row>
    <row r="23" spans="1:92" s="2" customFormat="1" ht="30" customHeight="1" x14ac:dyDescent="0.35">
      <c r="A23" s="33" t="s">
        <v>38</v>
      </c>
      <c r="B23" s="15" t="s">
        <v>68</v>
      </c>
      <c r="C23" s="42"/>
      <c r="D23" s="16"/>
      <c r="E23" s="62"/>
      <c r="F23" s="63"/>
      <c r="G23" s="8"/>
      <c r="H23" s="8" t="str">
        <f t="shared" si="8"/>
        <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row>
    <row r="24" spans="1:92" s="2" customFormat="1" ht="30" customHeight="1" x14ac:dyDescent="0.35">
      <c r="A24" s="33"/>
      <c r="B24" s="68" t="s">
        <v>69</v>
      </c>
      <c r="C24" s="43" t="s">
        <v>32</v>
      </c>
      <c r="D24" s="17"/>
      <c r="E24" s="64">
        <v>45811</v>
      </c>
      <c r="F24" s="64">
        <v>45820</v>
      </c>
      <c r="G24" s="8"/>
      <c r="H24" s="8">
        <f t="shared" si="8"/>
        <v>10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row>
    <row r="25" spans="1:92" s="2" customFormat="1" ht="30" customHeight="1" x14ac:dyDescent="0.35">
      <c r="A25" s="33"/>
      <c r="B25" s="48" t="s">
        <v>70</v>
      </c>
      <c r="C25" s="43" t="s">
        <v>32</v>
      </c>
      <c r="D25" s="17"/>
      <c r="E25" s="64">
        <v>45811</v>
      </c>
      <c r="F25" s="64">
        <v>45820</v>
      </c>
      <c r="G25" s="8"/>
      <c r="H25" s="8">
        <f t="shared" si="8"/>
        <v>10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row>
    <row r="26" spans="1:92" s="2" customFormat="1" ht="30" customHeight="1" x14ac:dyDescent="0.35">
      <c r="A26" s="33"/>
      <c r="B26" s="48" t="s">
        <v>71</v>
      </c>
      <c r="C26" s="43" t="s">
        <v>35</v>
      </c>
      <c r="D26" s="17"/>
      <c r="E26" s="64">
        <v>45811</v>
      </c>
      <c r="F26" s="64">
        <v>45820</v>
      </c>
      <c r="G26" s="8"/>
      <c r="H26" s="8">
        <f t="shared" si="8"/>
        <v>10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row>
    <row r="27" spans="1:92" s="2" customFormat="1" ht="30" customHeight="1" x14ac:dyDescent="0.35">
      <c r="A27" s="33"/>
      <c r="B27" s="48" t="s">
        <v>72</v>
      </c>
      <c r="C27" s="94" t="s">
        <v>93</v>
      </c>
      <c r="D27" s="17"/>
      <c r="E27" s="64">
        <v>45811</v>
      </c>
      <c r="F27" s="64">
        <v>45820</v>
      </c>
      <c r="G27" s="8"/>
      <c r="H27" s="8">
        <f t="shared" si="8"/>
        <v>10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row>
    <row r="28" spans="1:92" s="2" customFormat="1" ht="30" customHeight="1" x14ac:dyDescent="0.35">
      <c r="A28" s="33"/>
      <c r="B28" s="48" t="s">
        <v>73</v>
      </c>
      <c r="C28" s="43" t="s">
        <v>39</v>
      </c>
      <c r="D28" s="17"/>
      <c r="E28" s="64">
        <v>45811</v>
      </c>
      <c r="F28" s="64">
        <v>45820</v>
      </c>
      <c r="G28" s="8"/>
      <c r="H28" s="8"/>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row>
    <row r="29" spans="1:92" s="2" customFormat="1" ht="30" customHeight="1" x14ac:dyDescent="0.35">
      <c r="A29" s="33"/>
      <c r="B29" s="48"/>
      <c r="C29" s="92"/>
      <c r="D29" s="17"/>
      <c r="E29" s="64">
        <v>45811</v>
      </c>
      <c r="F29" s="64">
        <v>45820</v>
      </c>
      <c r="G29" s="8"/>
      <c r="H29" s="8">
        <f t="shared" si="8"/>
        <v>10</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row>
    <row r="30" spans="1:92" s="2" customFormat="1" ht="30" customHeight="1" x14ac:dyDescent="0.35">
      <c r="A30" s="33" t="s">
        <v>38</v>
      </c>
      <c r="B30" s="18" t="s">
        <v>74</v>
      </c>
      <c r="C30" s="44"/>
      <c r="D30" s="19"/>
      <c r="E30" s="65"/>
      <c r="F30" s="66"/>
      <c r="G30" s="8"/>
      <c r="H30" s="8" t="str">
        <f t="shared" si="8"/>
        <v/>
      </c>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row>
    <row r="31" spans="1:92" s="2" customFormat="1" ht="30" customHeight="1" x14ac:dyDescent="0.35">
      <c r="A31" s="33"/>
      <c r="B31" s="49" t="s">
        <v>75</v>
      </c>
      <c r="C31" s="45" t="s">
        <v>36</v>
      </c>
      <c r="D31" s="20"/>
      <c r="E31" s="67">
        <v>45825</v>
      </c>
      <c r="F31" s="67">
        <v>45834</v>
      </c>
      <c r="G31" s="8"/>
      <c r="H31" s="8">
        <f t="shared" si="8"/>
        <v>10</v>
      </c>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row>
    <row r="32" spans="1:92" s="2" customFormat="1" ht="30" customHeight="1" x14ac:dyDescent="0.35">
      <c r="A32" s="33"/>
      <c r="B32" s="49" t="s">
        <v>76</v>
      </c>
      <c r="C32" s="45" t="s">
        <v>32</v>
      </c>
      <c r="D32" s="20"/>
      <c r="E32" s="67">
        <v>45825</v>
      </c>
      <c r="F32" s="67">
        <v>45834</v>
      </c>
      <c r="G32" s="8"/>
      <c r="H32" s="8">
        <f t="shared" si="8"/>
        <v>10</v>
      </c>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row>
    <row r="33" spans="1:92" s="2" customFormat="1" ht="30" customHeight="1" x14ac:dyDescent="0.35">
      <c r="A33" s="33"/>
      <c r="B33" s="49" t="s">
        <v>77</v>
      </c>
      <c r="C33" s="45" t="s">
        <v>34</v>
      </c>
      <c r="D33" s="20"/>
      <c r="E33" s="67">
        <v>45825</v>
      </c>
      <c r="F33" s="67">
        <v>45834</v>
      </c>
      <c r="G33" s="8"/>
      <c r="H33" s="8">
        <f t="shared" si="8"/>
        <v>10</v>
      </c>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row>
    <row r="34" spans="1:92" s="2" customFormat="1" ht="30" customHeight="1" x14ac:dyDescent="0.35">
      <c r="A34" s="33"/>
      <c r="B34" s="49" t="s">
        <v>78</v>
      </c>
      <c r="C34" s="69" t="s">
        <v>35</v>
      </c>
      <c r="D34" s="20"/>
      <c r="E34" s="67">
        <v>45825</v>
      </c>
      <c r="F34" s="67">
        <v>45834</v>
      </c>
      <c r="G34" s="8"/>
      <c r="H34" s="8">
        <f t="shared" si="8"/>
        <v>10</v>
      </c>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c r="CM34" s="21"/>
      <c r="CN34" s="21"/>
    </row>
    <row r="35" spans="1:92" s="2" customFormat="1" ht="30" customHeight="1" x14ac:dyDescent="0.35">
      <c r="A35" s="33"/>
      <c r="B35" s="49" t="s">
        <v>73</v>
      </c>
      <c r="C35" s="69" t="s">
        <v>39</v>
      </c>
      <c r="D35" s="20"/>
      <c r="E35" s="67">
        <v>45825</v>
      </c>
      <c r="F35" s="67">
        <v>45834</v>
      </c>
      <c r="G35" s="8"/>
      <c r="H35" s="8">
        <f t="shared" si="8"/>
        <v>10</v>
      </c>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row>
    <row r="36" spans="1:92" s="2" customFormat="1" ht="30" customHeight="1" x14ac:dyDescent="0.35">
      <c r="A36" s="33" t="s">
        <v>40</v>
      </c>
      <c r="B36" s="78" t="s">
        <v>79</v>
      </c>
      <c r="C36" s="70"/>
      <c r="D36" s="71"/>
      <c r="E36" s="79"/>
      <c r="F36" s="80"/>
      <c r="G36" s="8"/>
      <c r="H36" s="8" t="str">
        <f t="shared" si="8"/>
        <v/>
      </c>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c r="CM36" s="21"/>
      <c r="CN36" s="21"/>
    </row>
    <row r="37" spans="1:92" s="2" customFormat="1" ht="30" customHeight="1" x14ac:dyDescent="0.35">
      <c r="A37" s="34" t="s">
        <v>41</v>
      </c>
      <c r="B37" s="74" t="s">
        <v>80</v>
      </c>
      <c r="C37" s="75" t="s">
        <v>94</v>
      </c>
      <c r="D37" s="16"/>
      <c r="E37" s="76">
        <v>45839</v>
      </c>
      <c r="F37" s="76">
        <v>45848</v>
      </c>
      <c r="G37" s="88"/>
      <c r="H37" s="88">
        <f t="shared" si="8"/>
        <v>10</v>
      </c>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c r="AP37" s="89"/>
      <c r="AQ37" s="89"/>
      <c r="AR37" s="89"/>
      <c r="AS37" s="89"/>
      <c r="AT37" s="89"/>
      <c r="AU37" s="89"/>
      <c r="AV37" s="89"/>
      <c r="AW37" s="89"/>
      <c r="AX37" s="89"/>
      <c r="AY37" s="89"/>
      <c r="AZ37" s="89"/>
      <c r="BA37" s="89"/>
      <c r="BB37" s="89"/>
      <c r="BC37" s="89"/>
      <c r="BD37" s="89"/>
      <c r="BE37" s="89"/>
      <c r="BF37" s="89"/>
      <c r="BG37" s="89"/>
      <c r="BH37" s="89"/>
      <c r="BI37" s="89"/>
      <c r="BJ37" s="89"/>
      <c r="BK37" s="89"/>
      <c r="BL37" s="89"/>
      <c r="BM37" s="89"/>
      <c r="BN37" s="89"/>
      <c r="BO37" s="89"/>
      <c r="BP37" s="89"/>
      <c r="BQ37" s="89"/>
      <c r="BR37" s="89"/>
      <c r="BS37" s="89"/>
      <c r="BT37" s="89"/>
      <c r="BU37" s="89"/>
      <c r="BV37" s="89"/>
      <c r="BW37" s="89"/>
      <c r="BX37" s="89"/>
      <c r="BY37" s="89"/>
      <c r="BZ37" s="89"/>
      <c r="CA37" s="89"/>
      <c r="CB37" s="89"/>
      <c r="CC37" s="89"/>
      <c r="CD37" s="89"/>
      <c r="CE37" s="89"/>
      <c r="CF37" s="89"/>
      <c r="CG37" s="89"/>
      <c r="CH37" s="89"/>
      <c r="CI37" s="89"/>
      <c r="CJ37" s="89"/>
      <c r="CK37" s="89"/>
      <c r="CL37" s="89"/>
      <c r="CM37" s="89"/>
      <c r="CN37" s="89"/>
    </row>
    <row r="38" spans="1:92" ht="30" customHeight="1" x14ac:dyDescent="0.35">
      <c r="B38" s="74" t="s">
        <v>81</v>
      </c>
      <c r="C38" s="75" t="s">
        <v>34</v>
      </c>
      <c r="D38" s="16"/>
      <c r="E38" s="76">
        <v>45839</v>
      </c>
      <c r="F38" s="76">
        <v>45848</v>
      </c>
      <c r="G38" s="88"/>
      <c r="H38" s="88">
        <f t="shared" ref="H38:H47" si="9">IF(OR(ISBLANK(task_start),ISBLANK(task_end)),"",task_end-task_start+1)</f>
        <v>10</v>
      </c>
      <c r="I38" s="89"/>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89"/>
      <c r="BM38" s="89"/>
      <c r="BN38" s="89"/>
      <c r="BO38" s="89"/>
      <c r="BP38" s="89"/>
      <c r="BQ38" s="89"/>
      <c r="BR38" s="89"/>
      <c r="BS38" s="89"/>
      <c r="BT38" s="89"/>
      <c r="BU38" s="89"/>
      <c r="BV38" s="89"/>
      <c r="BW38" s="89"/>
      <c r="BX38" s="89"/>
      <c r="BY38" s="89"/>
      <c r="BZ38" s="89"/>
      <c r="CA38" s="89"/>
      <c r="CB38" s="89"/>
      <c r="CC38" s="89"/>
      <c r="CD38" s="89"/>
      <c r="CE38" s="89"/>
      <c r="CF38" s="89"/>
      <c r="CG38" s="89"/>
      <c r="CH38" s="89"/>
      <c r="CI38" s="89"/>
      <c r="CJ38" s="89"/>
      <c r="CK38" s="89"/>
      <c r="CL38" s="89"/>
      <c r="CM38" s="89"/>
      <c r="CN38" s="89"/>
    </row>
    <row r="39" spans="1:92" ht="30" customHeight="1" x14ac:dyDescent="0.35">
      <c r="B39" s="74" t="s">
        <v>82</v>
      </c>
      <c r="C39" s="75" t="s">
        <v>35</v>
      </c>
      <c r="D39" s="16"/>
      <c r="E39" s="76">
        <v>45839</v>
      </c>
      <c r="F39" s="76">
        <v>45848</v>
      </c>
      <c r="G39" s="88"/>
      <c r="H39" s="88">
        <f t="shared" si="9"/>
        <v>10</v>
      </c>
      <c r="I39" s="89"/>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89"/>
      <c r="AS39" s="89"/>
      <c r="AT39" s="89"/>
      <c r="AU39" s="89"/>
      <c r="AV39" s="89"/>
      <c r="AW39" s="89"/>
      <c r="AX39" s="89"/>
      <c r="AY39" s="89"/>
      <c r="AZ39" s="89"/>
      <c r="BA39" s="89"/>
      <c r="BB39" s="89"/>
      <c r="BC39" s="89"/>
      <c r="BD39" s="89"/>
      <c r="BE39" s="89"/>
      <c r="BF39" s="89"/>
      <c r="BG39" s="89"/>
      <c r="BH39" s="89"/>
      <c r="BI39" s="89"/>
      <c r="BJ39" s="89"/>
      <c r="BK39" s="89"/>
      <c r="BL39" s="89"/>
      <c r="BM39" s="89"/>
      <c r="BN39" s="89"/>
      <c r="BO39" s="89"/>
      <c r="BP39" s="89"/>
      <c r="BQ39" s="89"/>
      <c r="BR39" s="89"/>
      <c r="BS39" s="89"/>
      <c r="BT39" s="89"/>
      <c r="BU39" s="89"/>
      <c r="BV39" s="89"/>
      <c r="BW39" s="89"/>
      <c r="BX39" s="89"/>
      <c r="BY39" s="89"/>
      <c r="BZ39" s="89"/>
      <c r="CA39" s="89"/>
      <c r="CB39" s="89"/>
      <c r="CC39" s="89"/>
      <c r="CD39" s="89"/>
      <c r="CE39" s="89"/>
      <c r="CF39" s="89"/>
      <c r="CG39" s="89"/>
      <c r="CH39" s="89"/>
      <c r="CI39" s="89"/>
      <c r="CJ39" s="89"/>
      <c r="CK39" s="89"/>
      <c r="CL39" s="89"/>
      <c r="CM39" s="89"/>
      <c r="CN39" s="89"/>
    </row>
    <row r="40" spans="1:92" ht="30" customHeight="1" x14ac:dyDescent="0.35">
      <c r="B40" s="74" t="s">
        <v>83</v>
      </c>
      <c r="C40" s="75" t="s">
        <v>36</v>
      </c>
      <c r="D40" s="16"/>
      <c r="E40" s="76">
        <v>45839</v>
      </c>
      <c r="F40" s="76">
        <v>45848</v>
      </c>
      <c r="G40" s="88"/>
      <c r="H40" s="88">
        <f t="shared" si="9"/>
        <v>10</v>
      </c>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89"/>
      <c r="AT40" s="89"/>
      <c r="AU40" s="89"/>
      <c r="AV40" s="89"/>
      <c r="AW40" s="89"/>
      <c r="AX40" s="89"/>
      <c r="AY40" s="89"/>
      <c r="AZ40" s="89"/>
      <c r="BA40" s="89"/>
      <c r="BB40" s="89"/>
      <c r="BC40" s="89"/>
      <c r="BD40" s="89"/>
      <c r="BE40" s="89"/>
      <c r="BF40" s="89"/>
      <c r="BG40" s="89"/>
      <c r="BH40" s="89"/>
      <c r="BI40" s="89"/>
      <c r="BJ40" s="89"/>
      <c r="BK40" s="89"/>
      <c r="BL40" s="89"/>
      <c r="BM40" s="89"/>
      <c r="BN40" s="89"/>
      <c r="BO40" s="89"/>
      <c r="BP40" s="89"/>
      <c r="BQ40" s="89"/>
      <c r="BR40" s="89"/>
      <c r="BS40" s="89"/>
      <c r="BT40" s="89"/>
      <c r="BU40" s="89"/>
      <c r="BV40" s="89"/>
      <c r="BW40" s="89"/>
      <c r="BX40" s="89"/>
      <c r="BY40" s="89"/>
      <c r="BZ40" s="89"/>
      <c r="CA40" s="89"/>
      <c r="CB40" s="89"/>
      <c r="CC40" s="89"/>
      <c r="CD40" s="89"/>
      <c r="CE40" s="89"/>
      <c r="CF40" s="89"/>
      <c r="CG40" s="89"/>
      <c r="CH40" s="89"/>
      <c r="CI40" s="89"/>
      <c r="CJ40" s="89"/>
      <c r="CK40" s="89"/>
      <c r="CL40" s="89"/>
      <c r="CM40" s="89"/>
      <c r="CN40" s="89"/>
    </row>
    <row r="41" spans="1:92" ht="30" customHeight="1" x14ac:dyDescent="0.35">
      <c r="B41" s="74" t="s">
        <v>73</v>
      </c>
      <c r="C41" s="75" t="s">
        <v>39</v>
      </c>
      <c r="D41" s="77"/>
      <c r="E41" s="76">
        <v>45839</v>
      </c>
      <c r="F41" s="76">
        <v>45848</v>
      </c>
      <c r="G41" s="88"/>
      <c r="H41" s="88">
        <f t="shared" si="9"/>
        <v>10</v>
      </c>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89"/>
      <c r="AS41" s="89"/>
      <c r="AT41" s="89"/>
      <c r="AU41" s="89"/>
      <c r="AV41" s="89"/>
      <c r="AW41" s="89"/>
      <c r="AX41" s="89"/>
      <c r="AY41" s="89"/>
      <c r="AZ41" s="89"/>
      <c r="BA41" s="89"/>
      <c r="BB41" s="89"/>
      <c r="BC41" s="89"/>
      <c r="BD41" s="89"/>
      <c r="BE41" s="89"/>
      <c r="BF41" s="89"/>
      <c r="BG41" s="89"/>
      <c r="BH41" s="89"/>
      <c r="BI41" s="89"/>
      <c r="BJ41" s="89"/>
      <c r="BK41" s="89"/>
      <c r="BL41" s="89"/>
      <c r="BM41" s="89"/>
      <c r="BN41" s="89"/>
      <c r="BO41" s="89"/>
      <c r="BP41" s="89"/>
      <c r="BQ41" s="89"/>
      <c r="BR41" s="89"/>
      <c r="BS41" s="89"/>
      <c r="BT41" s="89"/>
      <c r="BU41" s="89"/>
      <c r="BV41" s="89"/>
      <c r="BW41" s="89"/>
      <c r="BX41" s="89"/>
      <c r="BY41" s="89"/>
      <c r="BZ41" s="89"/>
      <c r="CA41" s="89"/>
      <c r="CB41" s="89"/>
      <c r="CC41" s="89"/>
      <c r="CD41" s="89"/>
      <c r="CE41" s="89"/>
      <c r="CF41" s="89"/>
      <c r="CG41" s="89"/>
      <c r="CH41" s="89"/>
      <c r="CI41" s="89"/>
      <c r="CJ41" s="89"/>
      <c r="CK41" s="89"/>
      <c r="CL41" s="89"/>
      <c r="CM41" s="89"/>
      <c r="CN41" s="89"/>
    </row>
    <row r="42" spans="1:92" ht="30" customHeight="1" x14ac:dyDescent="0.35">
      <c r="B42" s="85" t="s">
        <v>84</v>
      </c>
      <c r="C42" s="72"/>
      <c r="D42" s="73"/>
      <c r="E42" s="86"/>
      <c r="F42" s="87"/>
      <c r="G42" s="88"/>
      <c r="H42" s="88" t="str">
        <f t="shared" si="9"/>
        <v/>
      </c>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89"/>
      <c r="BY42" s="89"/>
      <c r="BZ42" s="89"/>
      <c r="CA42" s="89"/>
      <c r="CB42" s="89"/>
      <c r="CC42" s="89"/>
      <c r="CD42" s="89"/>
      <c r="CE42" s="89"/>
      <c r="CF42" s="89"/>
      <c r="CG42" s="89"/>
      <c r="CH42" s="89"/>
      <c r="CI42" s="89"/>
      <c r="CJ42" s="89"/>
      <c r="CK42" s="89"/>
      <c r="CL42" s="89"/>
      <c r="CM42" s="89"/>
      <c r="CN42" s="89"/>
    </row>
    <row r="43" spans="1:92" ht="30" customHeight="1" x14ac:dyDescent="0.35">
      <c r="B43" s="81" t="s">
        <v>85</v>
      </c>
      <c r="C43" s="82" t="s">
        <v>39</v>
      </c>
      <c r="D43" s="83"/>
      <c r="E43" s="84">
        <v>45853</v>
      </c>
      <c r="F43" s="84">
        <v>45862</v>
      </c>
      <c r="G43" s="88"/>
      <c r="H43" s="88">
        <f t="shared" si="9"/>
        <v>10</v>
      </c>
      <c r="I43" s="89"/>
      <c r="J43" s="89"/>
      <c r="K43" s="89"/>
      <c r="L43" s="89"/>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89"/>
      <c r="AS43" s="89"/>
      <c r="AT43" s="89"/>
      <c r="AU43" s="89"/>
      <c r="AV43" s="89"/>
      <c r="AW43" s="89"/>
      <c r="AX43" s="89"/>
      <c r="AY43" s="89"/>
      <c r="AZ43" s="89"/>
      <c r="BA43" s="89"/>
      <c r="BB43" s="89"/>
      <c r="BC43" s="89"/>
      <c r="BD43" s="89"/>
      <c r="BE43" s="89"/>
      <c r="BF43" s="89"/>
      <c r="BG43" s="89"/>
      <c r="BH43" s="89"/>
      <c r="BI43" s="89"/>
      <c r="BJ43" s="89"/>
      <c r="BK43" s="89"/>
      <c r="BL43" s="89"/>
      <c r="BM43" s="89"/>
      <c r="BN43" s="89"/>
      <c r="BO43" s="89"/>
      <c r="BP43" s="89"/>
      <c r="BQ43" s="89"/>
      <c r="BR43" s="89"/>
      <c r="BS43" s="89"/>
      <c r="BT43" s="89"/>
      <c r="BU43" s="89"/>
      <c r="BV43" s="89"/>
      <c r="BW43" s="89"/>
      <c r="BX43" s="89"/>
      <c r="BY43" s="89"/>
      <c r="BZ43" s="89"/>
      <c r="CA43" s="89"/>
      <c r="CB43" s="89"/>
      <c r="CC43" s="89"/>
      <c r="CD43" s="89"/>
      <c r="CE43" s="89"/>
      <c r="CF43" s="89"/>
      <c r="CG43" s="89"/>
      <c r="CH43" s="89"/>
      <c r="CI43" s="89"/>
      <c r="CJ43" s="89"/>
      <c r="CK43" s="89"/>
      <c r="CL43" s="89"/>
      <c r="CM43" s="89"/>
      <c r="CN43" s="89"/>
    </row>
    <row r="44" spans="1:92" ht="30" customHeight="1" x14ac:dyDescent="0.35">
      <c r="B44" s="81" t="s">
        <v>86</v>
      </c>
      <c r="C44" s="95" t="s">
        <v>95</v>
      </c>
      <c r="D44" s="83"/>
      <c r="E44" s="84">
        <v>45853</v>
      </c>
      <c r="F44" s="84">
        <v>45862</v>
      </c>
      <c r="G44" s="88"/>
      <c r="H44" s="88">
        <f t="shared" si="9"/>
        <v>10</v>
      </c>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89"/>
      <c r="AS44" s="89"/>
      <c r="AT44" s="89"/>
      <c r="AU44" s="89"/>
      <c r="AV44" s="89"/>
      <c r="AW44" s="89"/>
      <c r="AX44" s="89"/>
      <c r="AY44" s="89"/>
      <c r="AZ44" s="89"/>
      <c r="BA44" s="89"/>
      <c r="BB44" s="89"/>
      <c r="BC44" s="89"/>
      <c r="BD44" s="89"/>
      <c r="BE44" s="89"/>
      <c r="BF44" s="89"/>
      <c r="BG44" s="89"/>
      <c r="BH44" s="89"/>
      <c r="BI44" s="89"/>
      <c r="BJ44" s="89"/>
      <c r="BK44" s="89"/>
      <c r="BL44" s="89"/>
      <c r="BM44" s="89"/>
      <c r="BN44" s="89"/>
      <c r="BO44" s="89"/>
      <c r="BP44" s="89"/>
      <c r="BQ44" s="89"/>
      <c r="BR44" s="89"/>
      <c r="BS44" s="89"/>
      <c r="BT44" s="89"/>
      <c r="BU44" s="89"/>
      <c r="BV44" s="89"/>
      <c r="BW44" s="89"/>
      <c r="BX44" s="89"/>
      <c r="BY44" s="89"/>
      <c r="BZ44" s="89"/>
      <c r="CA44" s="89"/>
      <c r="CB44" s="89"/>
      <c r="CC44" s="89"/>
      <c r="CD44" s="89"/>
      <c r="CE44" s="89"/>
      <c r="CF44" s="89"/>
      <c r="CG44" s="89"/>
      <c r="CH44" s="89"/>
      <c r="CI44" s="89"/>
      <c r="CJ44" s="89"/>
      <c r="CK44" s="89"/>
      <c r="CL44" s="89"/>
      <c r="CM44" s="89"/>
      <c r="CN44" s="89"/>
    </row>
    <row r="45" spans="1:92" ht="30" customHeight="1" thickBot="1" x14ac:dyDescent="0.4">
      <c r="B45" s="81" t="s">
        <v>87</v>
      </c>
      <c r="C45" s="95" t="s">
        <v>96</v>
      </c>
      <c r="D45" s="83"/>
      <c r="E45" s="84">
        <v>45853</v>
      </c>
      <c r="F45" s="84">
        <v>45862</v>
      </c>
      <c r="G45" s="88"/>
      <c r="H45" s="88">
        <f t="shared" si="9"/>
        <v>10</v>
      </c>
      <c r="I45" s="89"/>
      <c r="J45" s="89"/>
      <c r="K45" s="89"/>
      <c r="L45" s="89"/>
      <c r="M45" s="89"/>
      <c r="N45" s="89"/>
      <c r="O45" s="89"/>
      <c r="P45" s="89"/>
      <c r="Q45" s="89"/>
      <c r="R45" s="89"/>
      <c r="S45" s="89"/>
      <c r="T45" s="89"/>
      <c r="U45" s="89"/>
      <c r="V45" s="89"/>
      <c r="W45" s="89"/>
      <c r="X45" s="89"/>
      <c r="Y45" s="89"/>
      <c r="Z45" s="89"/>
      <c r="AA45" s="89"/>
      <c r="AB45" s="89"/>
      <c r="AC45" s="89"/>
      <c r="AD45" s="89"/>
      <c r="AE45" s="89"/>
      <c r="AF45" s="89"/>
      <c r="AG45" s="89"/>
      <c r="AH45" s="89"/>
      <c r="AI45" s="89"/>
      <c r="AJ45" s="89"/>
      <c r="AK45" s="89"/>
      <c r="AL45" s="89"/>
      <c r="AM45" s="89"/>
      <c r="AN45" s="89"/>
      <c r="AO45" s="89"/>
      <c r="AP45" s="89"/>
      <c r="AQ45" s="89"/>
      <c r="AR45" s="89"/>
      <c r="AS45" s="89"/>
      <c r="AT45" s="89"/>
      <c r="AU45" s="89"/>
      <c r="AV45" s="89"/>
      <c r="AW45" s="89"/>
      <c r="AX45" s="89"/>
      <c r="AY45" s="89"/>
      <c r="AZ45" s="89"/>
      <c r="BA45" s="89"/>
      <c r="BB45" s="89"/>
      <c r="BC45" s="89"/>
      <c r="BD45" s="89"/>
      <c r="BE45" s="89"/>
      <c r="BF45" s="89"/>
      <c r="BG45" s="89"/>
      <c r="BH45" s="89"/>
      <c r="BI45" s="89"/>
      <c r="BJ45" s="89"/>
      <c r="BK45" s="89"/>
      <c r="BL45" s="89"/>
      <c r="BM45" s="89"/>
      <c r="BN45" s="89"/>
      <c r="BO45" s="89"/>
      <c r="BP45" s="89"/>
      <c r="BQ45" s="89"/>
      <c r="BR45" s="89"/>
      <c r="BS45" s="89"/>
      <c r="BT45" s="89"/>
      <c r="BU45" s="89"/>
      <c r="BV45" s="89"/>
      <c r="BW45" s="89"/>
      <c r="BX45" s="89"/>
      <c r="BY45" s="89"/>
      <c r="BZ45" s="89"/>
      <c r="CA45" s="89"/>
      <c r="CB45" s="89"/>
      <c r="CC45" s="89"/>
      <c r="CD45" s="89"/>
      <c r="CE45" s="89"/>
      <c r="CF45" s="89"/>
      <c r="CG45" s="89"/>
      <c r="CH45" s="89"/>
      <c r="CI45" s="89"/>
      <c r="CJ45" s="89"/>
      <c r="CK45" s="89"/>
      <c r="CL45" s="89"/>
      <c r="CM45" s="89"/>
      <c r="CN45" s="89"/>
    </row>
    <row r="46" spans="1:92" ht="30" customHeight="1" thickBot="1" x14ac:dyDescent="0.4">
      <c r="B46" s="81" t="s">
        <v>88</v>
      </c>
      <c r="C46" s="82" t="s">
        <v>39</v>
      </c>
      <c r="D46" s="83"/>
      <c r="E46" s="84"/>
      <c r="F46" s="84"/>
      <c r="G46" s="88"/>
      <c r="H46" s="88"/>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89"/>
      <c r="AH46" s="89"/>
      <c r="AI46" s="89"/>
      <c r="AJ46" s="89"/>
      <c r="AK46" s="89"/>
      <c r="AL46" s="89"/>
      <c r="AM46" s="89"/>
      <c r="AN46" s="89"/>
      <c r="AO46" s="89"/>
      <c r="AP46" s="89"/>
      <c r="AQ46" s="89"/>
      <c r="AR46" s="89"/>
      <c r="AS46" s="89"/>
      <c r="AT46" s="89"/>
      <c r="AU46" s="89"/>
      <c r="AV46" s="89"/>
      <c r="AW46" s="89"/>
      <c r="AX46" s="89"/>
      <c r="AY46" s="89"/>
      <c r="AZ46" s="89"/>
      <c r="BA46" s="89"/>
      <c r="BB46" s="89"/>
      <c r="BC46" s="89"/>
      <c r="BD46" s="89"/>
      <c r="BE46" s="89"/>
      <c r="BF46" s="89"/>
      <c r="BG46" s="89"/>
      <c r="BH46" s="89"/>
      <c r="BI46" s="89"/>
      <c r="BJ46" s="89"/>
      <c r="BK46" s="89"/>
      <c r="BL46" s="89"/>
      <c r="BM46" s="89"/>
      <c r="BN46" s="89"/>
      <c r="BO46" s="89"/>
      <c r="BP46" s="89"/>
      <c r="BQ46" s="89"/>
      <c r="BR46" s="89"/>
      <c r="BS46" s="89"/>
      <c r="BT46" s="89"/>
      <c r="BU46" s="89"/>
      <c r="BV46" s="89"/>
      <c r="BW46" s="89"/>
      <c r="BX46" s="89"/>
      <c r="BY46" s="89"/>
      <c r="BZ46" s="89"/>
      <c r="CA46" s="89"/>
      <c r="CB46" s="89"/>
      <c r="CC46" s="89"/>
      <c r="CD46" s="89"/>
      <c r="CE46" s="89"/>
      <c r="CF46" s="89"/>
      <c r="CG46" s="89"/>
      <c r="CH46" s="89"/>
      <c r="CI46" s="89"/>
      <c r="CJ46" s="89"/>
      <c r="CK46" s="89"/>
      <c r="CL46" s="89"/>
      <c r="CM46" s="89"/>
      <c r="CN46" s="89"/>
    </row>
    <row r="47" spans="1:92" ht="30" customHeight="1" thickBot="1" x14ac:dyDescent="0.4">
      <c r="B47" s="81" t="s">
        <v>89</v>
      </c>
      <c r="C47" s="82" t="s">
        <v>39</v>
      </c>
      <c r="D47" s="83"/>
      <c r="E47" s="84">
        <v>45853</v>
      </c>
      <c r="F47" s="84">
        <v>45862</v>
      </c>
      <c r="G47" s="88"/>
      <c r="H47" s="88">
        <f t="shared" si="9"/>
        <v>10</v>
      </c>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89"/>
      <c r="AH47" s="89"/>
      <c r="AI47" s="89"/>
      <c r="AJ47" s="89"/>
      <c r="AK47" s="89"/>
      <c r="AL47" s="89"/>
      <c r="AM47" s="89"/>
      <c r="AN47" s="89"/>
      <c r="AO47" s="89"/>
      <c r="AP47" s="89"/>
      <c r="AQ47" s="89"/>
      <c r="AR47" s="89"/>
      <c r="AS47" s="89"/>
      <c r="AT47" s="89"/>
      <c r="AU47" s="89"/>
      <c r="AV47" s="89"/>
      <c r="AW47" s="89"/>
      <c r="AX47" s="89"/>
      <c r="AY47" s="89"/>
      <c r="AZ47" s="89"/>
      <c r="BA47" s="89"/>
      <c r="BB47" s="89"/>
      <c r="BC47" s="89"/>
      <c r="BD47" s="89"/>
      <c r="BE47" s="89"/>
      <c r="BF47" s="89"/>
      <c r="BG47" s="89"/>
      <c r="BH47" s="89"/>
      <c r="BI47" s="89"/>
      <c r="BJ47" s="89"/>
      <c r="BK47" s="89"/>
      <c r="BL47" s="89"/>
      <c r="BM47" s="89"/>
      <c r="BN47" s="89"/>
      <c r="BO47" s="89"/>
      <c r="BP47" s="89"/>
      <c r="BQ47" s="89"/>
      <c r="BR47" s="89"/>
      <c r="BS47" s="89"/>
      <c r="BT47" s="89"/>
      <c r="BU47" s="89"/>
      <c r="BV47" s="89"/>
      <c r="BW47" s="89"/>
      <c r="BX47" s="89"/>
      <c r="BY47" s="89"/>
      <c r="BZ47" s="89"/>
      <c r="CA47" s="89"/>
      <c r="CB47" s="89"/>
      <c r="CC47" s="89"/>
      <c r="CD47" s="89"/>
      <c r="CE47" s="89"/>
      <c r="CF47" s="89"/>
      <c r="CG47" s="89"/>
      <c r="CH47" s="89"/>
      <c r="CI47" s="89"/>
      <c r="CJ47" s="89"/>
      <c r="CK47" s="89"/>
      <c r="CL47" s="89"/>
      <c r="CM47" s="89"/>
      <c r="CN47" s="89"/>
    </row>
  </sheetData>
  <mergeCells count="16">
    <mergeCell ref="B1:CN1"/>
    <mergeCell ref="BM4:BS4"/>
    <mergeCell ref="BT4:BZ4"/>
    <mergeCell ref="CA4:CG4"/>
    <mergeCell ref="CH4:CN4"/>
    <mergeCell ref="C3:D3"/>
    <mergeCell ref="C4:D4"/>
    <mergeCell ref="AK4:AQ4"/>
    <mergeCell ref="AR4:AX4"/>
    <mergeCell ref="AY4:BE4"/>
    <mergeCell ref="BF4:BL4"/>
    <mergeCell ref="E3:F3"/>
    <mergeCell ref="I4:O4"/>
    <mergeCell ref="P4:V4"/>
    <mergeCell ref="W4:AC4"/>
    <mergeCell ref="AD4:AJ4"/>
  </mergeCells>
  <conditionalFormatting sqref="D7:D47">
    <cfRule type="dataBar" priority="161">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CN47">
    <cfRule type="expression" dxfId="2" priority="3">
      <formula>AND(TODAY()&gt;=I$5,TODAY()&lt;J$5)</formula>
    </cfRule>
  </conditionalFormatting>
  <conditionalFormatting sqref="I7:CN47">
    <cfRule type="expression" dxfId="1" priority="1">
      <formula>AND(task_start&lt;=I$5,ROUNDDOWN((task_end-task_start+1)*task_progress,0)+task_start-1&gt;=I$5)</formula>
    </cfRule>
    <cfRule type="expression" dxfId="0" priority="2" stopIfTrue="1">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10" zoomScaleNormal="100" workbookViewId="0">
      <selection activeCell="A16" sqref="A16"/>
    </sheetView>
  </sheetViews>
  <sheetFormatPr baseColWidth="10" defaultColWidth="9.08984375" defaultRowHeight="13" x14ac:dyDescent="0.3"/>
  <cols>
    <col min="1" max="1" width="87.08984375" style="23" customWidth="1"/>
    <col min="2" max="16384" width="9.08984375" style="1"/>
  </cols>
  <sheetData>
    <row r="1" spans="1:2" ht="46.5" customHeight="1" x14ac:dyDescent="0.3"/>
    <row r="2" spans="1:2" s="25" customFormat="1" ht="15.5" x14ac:dyDescent="0.35">
      <c r="A2" s="24" t="s">
        <v>1</v>
      </c>
      <c r="B2" s="24"/>
    </row>
    <row r="3" spans="1:2" s="29" customFormat="1" ht="27" customHeight="1" x14ac:dyDescent="0.35">
      <c r="A3" s="52" t="s">
        <v>4</v>
      </c>
      <c r="B3" s="30"/>
    </row>
    <row r="4" spans="1:2" s="26" customFormat="1" ht="26" x14ac:dyDescent="0.6">
      <c r="A4" s="27" t="s">
        <v>42</v>
      </c>
    </row>
    <row r="5" spans="1:2" ht="75.75" customHeight="1" x14ac:dyDescent="0.3">
      <c r="A5" s="28" t="s">
        <v>43</v>
      </c>
    </row>
    <row r="6" spans="1:2" ht="26.25" customHeight="1" x14ac:dyDescent="0.3">
      <c r="A6" s="27" t="s">
        <v>44</v>
      </c>
    </row>
    <row r="7" spans="1:2" s="23" customFormat="1" ht="216" customHeight="1" x14ac:dyDescent="0.35">
      <c r="A7" s="32" t="s">
        <v>45</v>
      </c>
    </row>
    <row r="8" spans="1:2" s="26" customFormat="1" ht="26" x14ac:dyDescent="0.6">
      <c r="A8" s="27" t="s">
        <v>46</v>
      </c>
    </row>
    <row r="9" spans="1:2" ht="82.5" customHeight="1" x14ac:dyDescent="0.3">
      <c r="A9" s="28" t="s">
        <v>47</v>
      </c>
    </row>
    <row r="10" spans="1:2" s="23" customFormat="1" ht="27.9" customHeight="1" x14ac:dyDescent="0.35">
      <c r="A10" s="31" t="s">
        <v>48</v>
      </c>
    </row>
    <row r="11" spans="1:2" s="26" customFormat="1" ht="26" x14ac:dyDescent="0.6">
      <c r="A11" s="27" t="s">
        <v>49</v>
      </c>
    </row>
    <row r="12" spans="1:2" ht="29" x14ac:dyDescent="0.3">
      <c r="A12" s="28" t="s">
        <v>50</v>
      </c>
    </row>
    <row r="13" spans="1:2" s="23" customFormat="1" ht="27.9" customHeight="1" x14ac:dyDescent="0.35">
      <c r="A13" s="31" t="s">
        <v>51</v>
      </c>
    </row>
    <row r="14" spans="1:2" s="26" customFormat="1" ht="26" x14ac:dyDescent="0.6">
      <c r="A14" s="27" t="s">
        <v>52</v>
      </c>
    </row>
    <row r="15" spans="1:2" ht="86.25" customHeight="1" x14ac:dyDescent="0.3">
      <c r="A15" s="28" t="s">
        <v>53</v>
      </c>
    </row>
    <row r="16" spans="1:2" ht="95.25" customHeight="1" x14ac:dyDescent="0.3">
      <c r="A16" s="28" t="s">
        <v>54</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12</vt:i4>
      </vt:variant>
    </vt:vector>
  </HeadingPairs>
  <TitlesOfParts>
    <vt:vector size="15" baseType="lpstr">
      <vt:lpstr>Cronograma_Sistema_Alerta</vt:lpstr>
      <vt:lpstr>ProjectSchedule</vt:lpstr>
      <vt:lpstr>Acerca de</vt:lpstr>
      <vt:lpstr>Cronograma_Sistema_Alerta!Inicio_del_proyecto</vt:lpstr>
      <vt:lpstr>Inicio_del_proyecto</vt:lpstr>
      <vt:lpstr>Cronograma_Sistema_Alerta!Semana_para_mostrar</vt:lpstr>
      <vt:lpstr>Semana_para_mostrar</vt:lpstr>
      <vt:lpstr>Cronograma_Sistema_Alerta!task_end</vt:lpstr>
      <vt:lpstr>ProjectSchedule!task_end</vt:lpstr>
      <vt:lpstr>Cronograma_Sistema_Alerta!task_progress</vt:lpstr>
      <vt:lpstr>ProjectSchedule!task_progress</vt:lpstr>
      <vt:lpstr>Cronograma_Sistema_Alerta!task_start</vt:lpstr>
      <vt:lpstr>ProjectSchedule!task_start</vt:lpstr>
      <vt:lpstr>Cronograma_Sistema_Alerta!Títulos_a_imprimir</vt:lpstr>
      <vt:lpstr>ProjectSchedule!Títulos_a_imprimir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2026-05-13T22:03:14Z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